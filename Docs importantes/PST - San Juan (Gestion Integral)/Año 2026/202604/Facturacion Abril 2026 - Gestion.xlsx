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avid\Downloads\"/>
    </mc:Choice>
  </mc:AlternateContent>
  <xr:revisionPtr revIDLastSave="0" documentId="13_ncr:1_{165AFB4C-123E-408F-861F-7D0CF388CAF8}" xr6:coauthVersionLast="47" xr6:coauthVersionMax="47" xr10:uidLastSave="{00000000-0000-0000-0000-000000000000}"/>
  <bookViews>
    <workbookView xWindow="-120" yWindow="-120" windowWidth="20730" windowHeight="11160" xr2:uid="{318EFD28-28E9-4DDA-BC2B-D0E4E42DFB00}"/>
  </bookViews>
  <sheets>
    <sheet name="Final" sheetId="1" r:id="rId1"/>
  </sheets>
  <externalReferences>
    <externalReference r:id="rId2"/>
    <externalReference r:id="rId3"/>
  </externalReferences>
  <definedNames>
    <definedName name="_xlnm._FilterDatabase" localSheetId="0" hidden="1">Final!$A$1:$N$342</definedName>
    <definedName name="DIOS">[1]DIOS!$D$2:$H$1016</definedName>
    <definedName name="ROLL01">'[2]Roll Out GSJ'!$A$2:$G$176</definedName>
    <definedName name="VLOCALIDAD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42" i="1" l="1"/>
  <c r="M342" i="1" s="1"/>
  <c r="L342" i="1"/>
  <c r="J342" i="1"/>
  <c r="I342" i="1"/>
  <c r="N341" i="1"/>
  <c r="M341" i="1" s="1"/>
  <c r="L341" i="1"/>
  <c r="J341" i="1"/>
  <c r="I341" i="1"/>
  <c r="N340" i="1"/>
  <c r="M340" i="1" s="1"/>
  <c r="L340" i="1"/>
  <c r="J340" i="1"/>
  <c r="I340" i="1"/>
  <c r="N339" i="1"/>
  <c r="M339" i="1" s="1"/>
  <c r="L339" i="1"/>
  <c r="J339" i="1"/>
  <c r="I339" i="1"/>
  <c r="N338" i="1"/>
  <c r="M338" i="1" s="1"/>
  <c r="L338" i="1"/>
  <c r="J338" i="1"/>
  <c r="I338" i="1"/>
  <c r="N337" i="1"/>
  <c r="M337" i="1"/>
  <c r="L337" i="1"/>
  <c r="J337" i="1"/>
  <c r="I337" i="1"/>
  <c r="N336" i="1"/>
  <c r="M336" i="1"/>
  <c r="L336" i="1"/>
  <c r="J336" i="1"/>
  <c r="I336" i="1"/>
  <c r="N335" i="1"/>
  <c r="M335" i="1"/>
  <c r="L335" i="1"/>
  <c r="J335" i="1"/>
  <c r="I335" i="1"/>
  <c r="N334" i="1"/>
  <c r="M334" i="1"/>
  <c r="L334" i="1"/>
  <c r="J334" i="1"/>
  <c r="I334" i="1"/>
  <c r="N333" i="1"/>
  <c r="M333" i="1"/>
  <c r="L333" i="1"/>
  <c r="J333" i="1"/>
  <c r="I333" i="1"/>
  <c r="N332" i="1"/>
  <c r="M332" i="1" s="1"/>
  <c r="L332" i="1"/>
  <c r="J332" i="1"/>
  <c r="I332" i="1"/>
  <c r="N331" i="1"/>
  <c r="M331" i="1" s="1"/>
  <c r="L331" i="1"/>
  <c r="J331" i="1"/>
  <c r="I331" i="1"/>
  <c r="N330" i="1"/>
  <c r="M330" i="1" s="1"/>
  <c r="L330" i="1"/>
  <c r="J330" i="1"/>
  <c r="I330" i="1"/>
  <c r="N329" i="1"/>
  <c r="M329" i="1"/>
  <c r="L329" i="1"/>
  <c r="J329" i="1"/>
  <c r="I329" i="1"/>
  <c r="N328" i="1"/>
  <c r="M328" i="1" s="1"/>
  <c r="L328" i="1"/>
  <c r="J328" i="1"/>
  <c r="I328" i="1"/>
  <c r="N327" i="1"/>
  <c r="M327" i="1" s="1"/>
  <c r="L327" i="1"/>
  <c r="J327" i="1"/>
  <c r="I327" i="1"/>
  <c r="N326" i="1"/>
  <c r="M326" i="1" s="1"/>
  <c r="L326" i="1"/>
  <c r="J326" i="1"/>
  <c r="I326" i="1"/>
  <c r="N325" i="1"/>
  <c r="M325" i="1"/>
  <c r="L325" i="1"/>
  <c r="J325" i="1"/>
  <c r="I325" i="1"/>
  <c r="N324" i="1"/>
  <c r="M324" i="1"/>
  <c r="L324" i="1"/>
  <c r="J324" i="1"/>
  <c r="I324" i="1"/>
  <c r="N323" i="1"/>
  <c r="M323" i="1"/>
  <c r="L323" i="1"/>
  <c r="J323" i="1"/>
  <c r="I323" i="1"/>
  <c r="N322" i="1"/>
  <c r="M322" i="1" s="1"/>
  <c r="L322" i="1"/>
  <c r="J322" i="1"/>
  <c r="I322" i="1"/>
  <c r="N321" i="1"/>
  <c r="M321" i="1"/>
  <c r="L321" i="1"/>
  <c r="J321" i="1"/>
  <c r="I321" i="1"/>
  <c r="N320" i="1"/>
  <c r="M320" i="1" s="1"/>
  <c r="L320" i="1"/>
  <c r="J320" i="1"/>
  <c r="I320" i="1"/>
  <c r="N319" i="1"/>
  <c r="M319" i="1" s="1"/>
  <c r="L319" i="1"/>
  <c r="J319" i="1"/>
  <c r="I319" i="1"/>
  <c r="N318" i="1"/>
  <c r="M318" i="1" s="1"/>
  <c r="L318" i="1"/>
  <c r="J318" i="1"/>
  <c r="I318" i="1"/>
  <c r="N317" i="1"/>
  <c r="M317" i="1"/>
  <c r="L317" i="1"/>
  <c r="J317" i="1"/>
  <c r="I317" i="1"/>
  <c r="N316" i="1"/>
  <c r="M316" i="1" s="1"/>
  <c r="L316" i="1"/>
  <c r="J316" i="1"/>
  <c r="I316" i="1"/>
  <c r="N315" i="1"/>
  <c r="M315" i="1"/>
  <c r="L315" i="1"/>
  <c r="J315" i="1"/>
  <c r="I315" i="1"/>
  <c r="N314" i="1"/>
  <c r="M314" i="1" s="1"/>
  <c r="L314" i="1"/>
  <c r="J314" i="1"/>
  <c r="I314" i="1"/>
  <c r="N313" i="1"/>
  <c r="M313" i="1"/>
  <c r="L313" i="1"/>
  <c r="J313" i="1"/>
  <c r="I313" i="1"/>
  <c r="N312" i="1"/>
  <c r="M312" i="1" s="1"/>
  <c r="L312" i="1"/>
  <c r="J312" i="1"/>
  <c r="I312" i="1"/>
  <c r="N311" i="1"/>
  <c r="M311" i="1"/>
  <c r="L311" i="1"/>
  <c r="J311" i="1"/>
  <c r="I311" i="1"/>
  <c r="N310" i="1"/>
  <c r="M310" i="1" s="1"/>
  <c r="L310" i="1"/>
  <c r="J310" i="1"/>
  <c r="I310" i="1"/>
  <c r="N309" i="1"/>
  <c r="M309" i="1"/>
  <c r="L309" i="1"/>
  <c r="J309" i="1"/>
  <c r="I309" i="1"/>
  <c r="N308" i="1"/>
  <c r="M308" i="1" s="1"/>
  <c r="L308" i="1"/>
  <c r="J308" i="1"/>
  <c r="I308" i="1"/>
  <c r="N307" i="1"/>
  <c r="M307" i="1" s="1"/>
  <c r="L307" i="1"/>
  <c r="J307" i="1"/>
  <c r="I307" i="1"/>
  <c r="N306" i="1"/>
  <c r="M306" i="1" s="1"/>
  <c r="L306" i="1"/>
  <c r="J306" i="1"/>
  <c r="I306" i="1"/>
  <c r="N305" i="1"/>
  <c r="M305" i="1"/>
  <c r="L305" i="1"/>
  <c r="J305" i="1"/>
  <c r="I305" i="1"/>
  <c r="N304" i="1"/>
  <c r="M304" i="1" s="1"/>
  <c r="L304" i="1"/>
  <c r="J304" i="1"/>
  <c r="I304" i="1"/>
  <c r="N303" i="1"/>
  <c r="M303" i="1" s="1"/>
  <c r="L303" i="1"/>
  <c r="J303" i="1"/>
  <c r="I303" i="1"/>
  <c r="N302" i="1"/>
  <c r="M302" i="1" s="1"/>
  <c r="L302" i="1"/>
  <c r="J302" i="1"/>
  <c r="I302" i="1"/>
  <c r="N301" i="1"/>
  <c r="M301" i="1"/>
  <c r="L301" i="1"/>
  <c r="J301" i="1"/>
  <c r="I301" i="1"/>
  <c r="N300" i="1"/>
  <c r="M300" i="1"/>
  <c r="L300" i="1"/>
  <c r="J300" i="1"/>
  <c r="I300" i="1"/>
  <c r="N299" i="1"/>
  <c r="M299" i="1"/>
  <c r="L299" i="1"/>
  <c r="J299" i="1"/>
  <c r="I299" i="1"/>
  <c r="N298" i="1"/>
  <c r="M298" i="1" s="1"/>
  <c r="L298" i="1"/>
  <c r="J298" i="1"/>
  <c r="I298" i="1"/>
  <c r="N297" i="1"/>
  <c r="M297" i="1"/>
  <c r="L297" i="1"/>
  <c r="J297" i="1"/>
  <c r="I297" i="1"/>
  <c r="N296" i="1"/>
  <c r="M296" i="1"/>
  <c r="L296" i="1"/>
  <c r="J296" i="1"/>
  <c r="I296" i="1"/>
  <c r="N295" i="1"/>
  <c r="M295" i="1" s="1"/>
  <c r="L295" i="1"/>
  <c r="J295" i="1"/>
  <c r="I295" i="1"/>
  <c r="N294" i="1"/>
  <c r="M294" i="1" s="1"/>
  <c r="L294" i="1"/>
  <c r="J294" i="1"/>
  <c r="I294" i="1"/>
  <c r="N293" i="1"/>
  <c r="M293" i="1"/>
  <c r="L293" i="1"/>
  <c r="J293" i="1"/>
  <c r="I293" i="1"/>
  <c r="N292" i="1"/>
  <c r="M292" i="1" s="1"/>
  <c r="L292" i="1"/>
  <c r="J292" i="1"/>
  <c r="I292" i="1"/>
  <c r="N291" i="1"/>
  <c r="M291" i="1" s="1"/>
  <c r="L291" i="1"/>
  <c r="J291" i="1"/>
  <c r="I291" i="1"/>
  <c r="N290" i="1"/>
  <c r="M290" i="1" s="1"/>
  <c r="L290" i="1"/>
  <c r="J290" i="1"/>
  <c r="I290" i="1"/>
  <c r="N289" i="1"/>
  <c r="M289" i="1"/>
  <c r="L289" i="1"/>
  <c r="J289" i="1"/>
  <c r="I289" i="1"/>
  <c r="N288" i="1"/>
  <c r="M288" i="1"/>
  <c r="L288" i="1"/>
  <c r="J288" i="1"/>
  <c r="I288" i="1"/>
  <c r="N287" i="1"/>
  <c r="M287" i="1"/>
  <c r="L287" i="1"/>
  <c r="J287" i="1"/>
  <c r="I287" i="1"/>
  <c r="N286" i="1"/>
  <c r="M286" i="1" s="1"/>
  <c r="L286" i="1"/>
  <c r="J286" i="1"/>
  <c r="I286" i="1"/>
  <c r="N285" i="1"/>
  <c r="M285" i="1"/>
  <c r="L285" i="1"/>
  <c r="J285" i="1"/>
  <c r="I285" i="1"/>
  <c r="N284" i="1"/>
  <c r="M284" i="1"/>
  <c r="L284" i="1"/>
  <c r="J284" i="1"/>
  <c r="I284" i="1"/>
  <c r="N283" i="1"/>
  <c r="M283" i="1" s="1"/>
  <c r="L283" i="1"/>
  <c r="J283" i="1"/>
  <c r="I283" i="1"/>
  <c r="N282" i="1"/>
  <c r="M282" i="1" s="1"/>
  <c r="L282" i="1"/>
  <c r="J282" i="1"/>
  <c r="I282" i="1"/>
  <c r="N281" i="1"/>
  <c r="M281" i="1"/>
  <c r="L281" i="1"/>
  <c r="J281" i="1"/>
  <c r="I281" i="1"/>
  <c r="N280" i="1"/>
  <c r="M280" i="1" s="1"/>
  <c r="L280" i="1"/>
  <c r="J280" i="1"/>
  <c r="I280" i="1"/>
  <c r="N279" i="1"/>
  <c r="M279" i="1" s="1"/>
  <c r="L279" i="1"/>
  <c r="J279" i="1"/>
  <c r="I279" i="1"/>
  <c r="N278" i="1"/>
  <c r="M278" i="1" s="1"/>
  <c r="L278" i="1"/>
  <c r="J278" i="1"/>
  <c r="I278" i="1"/>
  <c r="N277" i="1"/>
  <c r="M277" i="1"/>
  <c r="L277" i="1"/>
  <c r="J277" i="1"/>
  <c r="I277" i="1"/>
  <c r="N276" i="1"/>
  <c r="M276" i="1" s="1"/>
  <c r="L276" i="1"/>
  <c r="J276" i="1"/>
  <c r="I276" i="1"/>
  <c r="N275" i="1"/>
  <c r="M275" i="1"/>
  <c r="L275" i="1"/>
  <c r="J275" i="1"/>
  <c r="I275" i="1"/>
  <c r="N274" i="1"/>
  <c r="M274" i="1"/>
  <c r="L274" i="1"/>
  <c r="J274" i="1"/>
  <c r="I274" i="1"/>
  <c r="N273" i="1"/>
  <c r="M273" i="1"/>
  <c r="L273" i="1"/>
  <c r="J273" i="1"/>
  <c r="I273" i="1"/>
  <c r="N272" i="1"/>
  <c r="M272" i="1" s="1"/>
  <c r="L272" i="1"/>
  <c r="J272" i="1"/>
  <c r="I272" i="1"/>
  <c r="N271" i="1"/>
  <c r="M271" i="1" s="1"/>
  <c r="L271" i="1"/>
  <c r="J271" i="1"/>
  <c r="I271" i="1"/>
  <c r="N270" i="1"/>
  <c r="M270" i="1" s="1"/>
  <c r="L270" i="1"/>
  <c r="J270" i="1"/>
  <c r="I270" i="1"/>
  <c r="N269" i="1"/>
  <c r="M269" i="1"/>
  <c r="L269" i="1"/>
  <c r="J269" i="1"/>
  <c r="I269" i="1"/>
  <c r="N268" i="1"/>
  <c r="M268" i="1" s="1"/>
  <c r="L268" i="1"/>
  <c r="J268" i="1"/>
  <c r="I268" i="1"/>
  <c r="N267" i="1"/>
  <c r="M267" i="1" s="1"/>
  <c r="L267" i="1"/>
  <c r="J267" i="1"/>
  <c r="I267" i="1"/>
  <c r="N266" i="1"/>
  <c r="M266" i="1" s="1"/>
  <c r="L266" i="1"/>
  <c r="J266" i="1"/>
  <c r="I266" i="1"/>
  <c r="N265" i="1"/>
  <c r="M265" i="1"/>
  <c r="L265" i="1"/>
  <c r="J265" i="1"/>
  <c r="I265" i="1"/>
  <c r="N264" i="1"/>
  <c r="M264" i="1" s="1"/>
  <c r="L264" i="1"/>
  <c r="J264" i="1"/>
  <c r="I264" i="1"/>
  <c r="N263" i="1"/>
  <c r="M263" i="1"/>
  <c r="L263" i="1"/>
  <c r="J263" i="1"/>
  <c r="I263" i="1"/>
  <c r="N262" i="1"/>
  <c r="M262" i="1"/>
  <c r="L262" i="1"/>
  <c r="J262" i="1"/>
  <c r="I262" i="1"/>
  <c r="N261" i="1"/>
  <c r="M261" i="1"/>
  <c r="L261" i="1"/>
  <c r="J261" i="1"/>
  <c r="I261" i="1"/>
  <c r="N260" i="1"/>
  <c r="M260" i="1" s="1"/>
  <c r="L260" i="1"/>
  <c r="J260" i="1"/>
  <c r="I260" i="1"/>
  <c r="N259" i="1"/>
  <c r="M259" i="1" s="1"/>
  <c r="L259" i="1"/>
  <c r="J259" i="1"/>
  <c r="I259" i="1"/>
  <c r="N258" i="1"/>
  <c r="M258" i="1" s="1"/>
  <c r="L258" i="1"/>
  <c r="J258" i="1"/>
  <c r="I258" i="1"/>
  <c r="N257" i="1"/>
  <c r="M257" i="1"/>
  <c r="L257" i="1"/>
  <c r="J257" i="1"/>
  <c r="I257" i="1"/>
  <c r="N256" i="1"/>
  <c r="M256" i="1" s="1"/>
  <c r="L256" i="1"/>
  <c r="J256" i="1"/>
  <c r="I256" i="1"/>
  <c r="N255" i="1"/>
  <c r="M255" i="1" s="1"/>
  <c r="L255" i="1"/>
  <c r="J255" i="1"/>
  <c r="I255" i="1"/>
  <c r="N254" i="1"/>
  <c r="M254" i="1" s="1"/>
  <c r="L254" i="1"/>
  <c r="J254" i="1"/>
  <c r="I254" i="1"/>
  <c r="N253" i="1"/>
  <c r="M253" i="1"/>
  <c r="L253" i="1"/>
  <c r="J253" i="1"/>
  <c r="I253" i="1"/>
  <c r="N252" i="1"/>
  <c r="M252" i="1"/>
  <c r="L252" i="1"/>
  <c r="J252" i="1"/>
  <c r="I252" i="1"/>
  <c r="N251" i="1"/>
  <c r="M251" i="1"/>
  <c r="L251" i="1"/>
  <c r="J251" i="1"/>
  <c r="I251" i="1"/>
  <c r="N250" i="1"/>
  <c r="M250" i="1"/>
  <c r="L250" i="1"/>
  <c r="J250" i="1"/>
  <c r="I250" i="1"/>
  <c r="N249" i="1"/>
  <c r="M249" i="1"/>
  <c r="L249" i="1"/>
  <c r="J249" i="1"/>
  <c r="I249" i="1"/>
  <c r="N248" i="1"/>
  <c r="M248" i="1" s="1"/>
  <c r="L248" i="1"/>
  <c r="J248" i="1"/>
  <c r="I248" i="1"/>
  <c r="N247" i="1"/>
  <c r="M247" i="1" s="1"/>
  <c r="L247" i="1"/>
  <c r="J247" i="1"/>
  <c r="I247" i="1"/>
  <c r="N246" i="1"/>
  <c r="M246" i="1" s="1"/>
  <c r="L246" i="1"/>
  <c r="J246" i="1"/>
  <c r="I246" i="1"/>
  <c r="N245" i="1"/>
  <c r="M245" i="1"/>
  <c r="L245" i="1"/>
  <c r="J245" i="1"/>
  <c r="I245" i="1"/>
  <c r="N244" i="1"/>
  <c r="M244" i="1" s="1"/>
  <c r="L244" i="1"/>
  <c r="J244" i="1"/>
  <c r="I244" i="1"/>
  <c r="N243" i="1"/>
  <c r="M243" i="1" s="1"/>
  <c r="L243" i="1"/>
  <c r="J243" i="1"/>
  <c r="I243" i="1"/>
  <c r="N242" i="1"/>
  <c r="M242" i="1" s="1"/>
  <c r="L242" i="1"/>
  <c r="J242" i="1"/>
  <c r="I242" i="1"/>
  <c r="N241" i="1"/>
  <c r="M241" i="1"/>
  <c r="L241" i="1"/>
  <c r="J241" i="1"/>
  <c r="I241" i="1"/>
  <c r="N240" i="1"/>
  <c r="M240" i="1"/>
  <c r="L240" i="1"/>
  <c r="J240" i="1"/>
  <c r="I240" i="1"/>
  <c r="N239" i="1"/>
  <c r="M239" i="1"/>
  <c r="L239" i="1"/>
  <c r="J239" i="1"/>
  <c r="I239" i="1"/>
  <c r="N238" i="1"/>
  <c r="M238" i="1"/>
  <c r="L238" i="1"/>
  <c r="J238" i="1"/>
  <c r="I238" i="1"/>
  <c r="N237" i="1"/>
  <c r="M237" i="1"/>
  <c r="L237" i="1"/>
  <c r="J237" i="1"/>
  <c r="I237" i="1"/>
  <c r="N236" i="1"/>
  <c r="M236" i="1" s="1"/>
  <c r="L236" i="1"/>
  <c r="J236" i="1"/>
  <c r="I236" i="1"/>
  <c r="N235" i="1"/>
  <c r="M235" i="1" s="1"/>
  <c r="L235" i="1"/>
  <c r="J235" i="1"/>
  <c r="I235" i="1"/>
  <c r="N234" i="1"/>
  <c r="M234" i="1" s="1"/>
  <c r="L234" i="1"/>
  <c r="J234" i="1"/>
  <c r="I234" i="1"/>
  <c r="N233" i="1"/>
  <c r="M233" i="1"/>
  <c r="L233" i="1"/>
  <c r="J233" i="1"/>
  <c r="I233" i="1"/>
  <c r="N232" i="1"/>
  <c r="M232" i="1" s="1"/>
  <c r="L232" i="1"/>
  <c r="J232" i="1"/>
  <c r="I232" i="1"/>
  <c r="N231" i="1"/>
  <c r="M231" i="1" s="1"/>
  <c r="L231" i="1"/>
  <c r="J231" i="1"/>
  <c r="I231" i="1"/>
  <c r="N230" i="1"/>
  <c r="M230" i="1" s="1"/>
  <c r="L230" i="1"/>
  <c r="J230" i="1"/>
  <c r="I230" i="1"/>
  <c r="N229" i="1"/>
  <c r="M229" i="1"/>
  <c r="L229" i="1"/>
  <c r="J229" i="1"/>
  <c r="I229" i="1"/>
  <c r="N228" i="1"/>
  <c r="M228" i="1"/>
  <c r="L228" i="1"/>
  <c r="J228" i="1"/>
  <c r="I228" i="1"/>
  <c r="N227" i="1"/>
  <c r="M227" i="1"/>
  <c r="L227" i="1"/>
  <c r="J227" i="1"/>
  <c r="I227" i="1"/>
  <c r="N226" i="1"/>
  <c r="M226" i="1"/>
  <c r="L226" i="1"/>
  <c r="J226" i="1"/>
  <c r="I226" i="1"/>
  <c r="N225" i="1"/>
  <c r="M225" i="1"/>
  <c r="L225" i="1"/>
  <c r="J225" i="1"/>
  <c r="I225" i="1"/>
  <c r="N224" i="1"/>
  <c r="M224" i="1" s="1"/>
  <c r="L224" i="1"/>
  <c r="J224" i="1"/>
  <c r="I224" i="1"/>
  <c r="N223" i="1"/>
  <c r="M223" i="1" s="1"/>
  <c r="L223" i="1"/>
  <c r="J223" i="1"/>
  <c r="I223" i="1"/>
  <c r="N222" i="1"/>
  <c r="M222" i="1" s="1"/>
  <c r="L222" i="1"/>
  <c r="J222" i="1"/>
  <c r="I222" i="1"/>
  <c r="N221" i="1"/>
  <c r="M221" i="1"/>
  <c r="L221" i="1"/>
  <c r="J221" i="1"/>
  <c r="I221" i="1"/>
  <c r="N220" i="1"/>
  <c r="M220" i="1" s="1"/>
  <c r="L220" i="1"/>
  <c r="J220" i="1"/>
  <c r="I220" i="1"/>
  <c r="N219" i="1"/>
  <c r="M219" i="1" s="1"/>
  <c r="L219" i="1"/>
  <c r="J219" i="1"/>
  <c r="I219" i="1"/>
  <c r="N218" i="1"/>
  <c r="M218" i="1" s="1"/>
  <c r="L218" i="1"/>
  <c r="J218" i="1"/>
  <c r="I218" i="1"/>
  <c r="N217" i="1"/>
  <c r="M217" i="1"/>
  <c r="L217" i="1"/>
  <c r="J217" i="1"/>
  <c r="I217" i="1"/>
  <c r="N216" i="1"/>
  <c r="M216" i="1"/>
  <c r="L216" i="1"/>
  <c r="J216" i="1"/>
  <c r="I216" i="1"/>
  <c r="N215" i="1"/>
  <c r="M215" i="1"/>
  <c r="L215" i="1"/>
  <c r="J215" i="1"/>
  <c r="I215" i="1"/>
  <c r="N214" i="1"/>
  <c r="M214" i="1"/>
  <c r="L214" i="1"/>
  <c r="J214" i="1"/>
  <c r="I214" i="1"/>
  <c r="N213" i="1"/>
  <c r="M213" i="1"/>
  <c r="L213" i="1"/>
  <c r="J213" i="1"/>
  <c r="I213" i="1"/>
  <c r="N212" i="1"/>
  <c r="M212" i="1" s="1"/>
  <c r="L212" i="1"/>
  <c r="J212" i="1"/>
  <c r="I212" i="1"/>
  <c r="N211" i="1"/>
  <c r="M211" i="1" s="1"/>
  <c r="L211" i="1"/>
  <c r="J211" i="1"/>
  <c r="I211" i="1"/>
  <c r="N210" i="1"/>
  <c r="M210" i="1" s="1"/>
  <c r="L210" i="1"/>
  <c r="J210" i="1"/>
  <c r="I210" i="1"/>
  <c r="N209" i="1"/>
  <c r="M209" i="1"/>
  <c r="L209" i="1"/>
  <c r="J209" i="1"/>
  <c r="I209" i="1"/>
  <c r="N208" i="1"/>
  <c r="M208" i="1" s="1"/>
  <c r="L208" i="1"/>
  <c r="J208" i="1"/>
  <c r="I208" i="1"/>
  <c r="N207" i="1"/>
  <c r="M207" i="1" s="1"/>
  <c r="L207" i="1"/>
  <c r="J207" i="1"/>
  <c r="I207" i="1"/>
  <c r="N206" i="1"/>
  <c r="M206" i="1" s="1"/>
  <c r="L206" i="1"/>
  <c r="J206" i="1"/>
  <c r="I206" i="1"/>
  <c r="N205" i="1"/>
  <c r="M205" i="1"/>
  <c r="L205" i="1"/>
  <c r="I205" i="1"/>
  <c r="N204" i="1"/>
  <c r="M204" i="1"/>
  <c r="L204" i="1"/>
  <c r="J204" i="1"/>
  <c r="I204" i="1"/>
  <c r="N203" i="1"/>
  <c r="M203" i="1" s="1"/>
  <c r="L203" i="1"/>
  <c r="J203" i="1"/>
  <c r="I203" i="1"/>
  <c r="N202" i="1"/>
  <c r="M202" i="1" s="1"/>
  <c r="L202" i="1"/>
  <c r="J202" i="1"/>
  <c r="I202" i="1"/>
  <c r="N201" i="1"/>
  <c r="M201" i="1" s="1"/>
  <c r="L201" i="1"/>
  <c r="J201" i="1"/>
  <c r="I201" i="1"/>
  <c r="N200" i="1"/>
  <c r="M200" i="1"/>
  <c r="L200" i="1"/>
  <c r="J200" i="1"/>
  <c r="I200" i="1"/>
  <c r="N199" i="1"/>
  <c r="M199" i="1"/>
  <c r="L199" i="1"/>
  <c r="J199" i="1"/>
  <c r="I199" i="1"/>
  <c r="N198" i="1"/>
  <c r="M198" i="1"/>
  <c r="L198" i="1"/>
  <c r="J198" i="1"/>
  <c r="I198" i="1"/>
  <c r="N197" i="1"/>
  <c r="M197" i="1"/>
  <c r="L197" i="1"/>
  <c r="J197" i="1"/>
  <c r="I197" i="1"/>
  <c r="N196" i="1"/>
  <c r="M196" i="1"/>
  <c r="L196" i="1"/>
  <c r="J196" i="1"/>
  <c r="I196" i="1"/>
  <c r="N195" i="1"/>
  <c r="M195" i="1" s="1"/>
  <c r="L195" i="1"/>
  <c r="J195" i="1"/>
  <c r="I195" i="1"/>
  <c r="N194" i="1"/>
  <c r="M194" i="1" s="1"/>
  <c r="L194" i="1"/>
  <c r="J194" i="1"/>
  <c r="I194" i="1"/>
  <c r="N193" i="1"/>
  <c r="M193" i="1" s="1"/>
  <c r="L193" i="1"/>
  <c r="J193" i="1"/>
  <c r="I193" i="1"/>
  <c r="N192" i="1"/>
  <c r="M192" i="1"/>
  <c r="L192" i="1"/>
  <c r="J192" i="1"/>
  <c r="I192" i="1"/>
  <c r="N191" i="1"/>
  <c r="M191" i="1" s="1"/>
  <c r="L191" i="1"/>
  <c r="J191" i="1"/>
  <c r="I191" i="1"/>
  <c r="N190" i="1"/>
  <c r="M190" i="1" s="1"/>
  <c r="L190" i="1"/>
  <c r="J190" i="1"/>
  <c r="I190" i="1"/>
  <c r="N189" i="1"/>
  <c r="M189" i="1" s="1"/>
  <c r="L189" i="1"/>
  <c r="J189" i="1"/>
  <c r="I189" i="1"/>
  <c r="N188" i="1"/>
  <c r="M188" i="1"/>
  <c r="L188" i="1"/>
  <c r="J188" i="1"/>
  <c r="I188" i="1"/>
  <c r="N187" i="1"/>
  <c r="M187" i="1"/>
  <c r="L187" i="1"/>
  <c r="J187" i="1"/>
  <c r="I187" i="1"/>
  <c r="N186" i="1"/>
  <c r="M186" i="1"/>
  <c r="L186" i="1"/>
  <c r="J186" i="1"/>
  <c r="I186" i="1"/>
  <c r="N185" i="1"/>
  <c r="M185" i="1"/>
  <c r="L185" i="1"/>
  <c r="J185" i="1"/>
  <c r="I185" i="1"/>
  <c r="N184" i="1"/>
  <c r="M184" i="1"/>
  <c r="L184" i="1"/>
  <c r="J184" i="1"/>
  <c r="I184" i="1"/>
  <c r="N183" i="1"/>
  <c r="M183" i="1" s="1"/>
  <c r="L183" i="1"/>
  <c r="J183" i="1"/>
  <c r="I183" i="1"/>
  <c r="N182" i="1"/>
  <c r="M182" i="1" s="1"/>
  <c r="L182" i="1"/>
  <c r="J182" i="1"/>
  <c r="I182" i="1"/>
  <c r="N181" i="1"/>
  <c r="M181" i="1" s="1"/>
  <c r="L181" i="1"/>
  <c r="J181" i="1"/>
  <c r="I181" i="1"/>
  <c r="N180" i="1"/>
  <c r="M180" i="1"/>
  <c r="L180" i="1"/>
  <c r="J180" i="1"/>
  <c r="I180" i="1"/>
  <c r="N179" i="1"/>
  <c r="M179" i="1" s="1"/>
  <c r="L179" i="1"/>
  <c r="J179" i="1"/>
  <c r="I179" i="1"/>
  <c r="N178" i="1"/>
  <c r="M178" i="1" s="1"/>
  <c r="L178" i="1"/>
  <c r="J178" i="1"/>
  <c r="I178" i="1"/>
  <c r="N177" i="1"/>
  <c r="M177" i="1" s="1"/>
  <c r="L177" i="1"/>
  <c r="J177" i="1"/>
  <c r="I177" i="1"/>
  <c r="N176" i="1"/>
  <c r="M176" i="1"/>
  <c r="L176" i="1"/>
  <c r="J176" i="1"/>
  <c r="I176" i="1"/>
  <c r="N175" i="1"/>
  <c r="M175" i="1"/>
  <c r="L175" i="1"/>
  <c r="J175" i="1"/>
  <c r="I175" i="1"/>
  <c r="N174" i="1"/>
  <c r="M174" i="1"/>
  <c r="L174" i="1"/>
  <c r="J174" i="1"/>
  <c r="I174" i="1"/>
  <c r="N173" i="1"/>
  <c r="M173" i="1"/>
  <c r="L173" i="1"/>
  <c r="J173" i="1"/>
  <c r="I173" i="1"/>
  <c r="N172" i="1"/>
  <c r="M172" i="1"/>
  <c r="L172" i="1"/>
  <c r="J172" i="1"/>
  <c r="I172" i="1"/>
  <c r="N171" i="1"/>
  <c r="M171" i="1" s="1"/>
  <c r="L171" i="1"/>
  <c r="J171" i="1"/>
  <c r="I171" i="1"/>
  <c r="N170" i="1"/>
  <c r="M170" i="1" s="1"/>
  <c r="L170" i="1"/>
  <c r="J170" i="1"/>
  <c r="I170" i="1"/>
  <c r="N169" i="1"/>
  <c r="M169" i="1" s="1"/>
  <c r="L169" i="1"/>
  <c r="J169" i="1"/>
  <c r="I169" i="1"/>
  <c r="N168" i="1"/>
  <c r="M168" i="1"/>
  <c r="L168" i="1"/>
  <c r="J168" i="1"/>
  <c r="I168" i="1"/>
  <c r="N167" i="1"/>
  <c r="M167" i="1" s="1"/>
  <c r="L167" i="1"/>
  <c r="J167" i="1"/>
  <c r="I167" i="1"/>
  <c r="N166" i="1"/>
  <c r="M166" i="1" s="1"/>
  <c r="L166" i="1"/>
  <c r="J166" i="1"/>
  <c r="I166" i="1"/>
  <c r="N165" i="1"/>
  <c r="M165" i="1" s="1"/>
  <c r="L165" i="1"/>
  <c r="J165" i="1"/>
  <c r="I165" i="1"/>
  <c r="N164" i="1"/>
  <c r="M164" i="1"/>
  <c r="L164" i="1"/>
  <c r="J164" i="1"/>
  <c r="I164" i="1"/>
  <c r="N163" i="1"/>
  <c r="M163" i="1"/>
  <c r="L163" i="1"/>
  <c r="J163" i="1"/>
  <c r="I163" i="1"/>
  <c r="N162" i="1"/>
  <c r="M162" i="1"/>
  <c r="L162" i="1"/>
  <c r="J162" i="1"/>
  <c r="I162" i="1"/>
  <c r="N161" i="1"/>
  <c r="M161" i="1"/>
  <c r="L161" i="1"/>
  <c r="J161" i="1"/>
  <c r="I161" i="1"/>
  <c r="N160" i="1"/>
  <c r="M160" i="1"/>
  <c r="L160" i="1"/>
  <c r="J160" i="1"/>
  <c r="I160" i="1"/>
  <c r="N159" i="1"/>
  <c r="M159" i="1" s="1"/>
  <c r="L159" i="1"/>
  <c r="J159" i="1"/>
  <c r="I159" i="1"/>
  <c r="N158" i="1"/>
  <c r="M158" i="1" s="1"/>
  <c r="L158" i="1"/>
  <c r="J158" i="1"/>
  <c r="I158" i="1"/>
  <c r="N157" i="1"/>
  <c r="M157" i="1" s="1"/>
  <c r="L157" i="1"/>
  <c r="J157" i="1"/>
  <c r="I157" i="1"/>
  <c r="N156" i="1"/>
  <c r="M156" i="1"/>
  <c r="L156" i="1"/>
  <c r="J156" i="1"/>
  <c r="I156" i="1"/>
  <c r="N155" i="1"/>
  <c r="M155" i="1" s="1"/>
  <c r="L155" i="1"/>
  <c r="J155" i="1"/>
  <c r="I155" i="1"/>
  <c r="N154" i="1"/>
  <c r="M154" i="1" s="1"/>
  <c r="L154" i="1"/>
  <c r="J154" i="1"/>
  <c r="I154" i="1"/>
  <c r="N153" i="1"/>
  <c r="M153" i="1" s="1"/>
  <c r="L153" i="1"/>
  <c r="J153" i="1"/>
  <c r="I153" i="1"/>
  <c r="N152" i="1"/>
  <c r="M152" i="1"/>
  <c r="L152" i="1"/>
  <c r="J152" i="1"/>
  <c r="I152" i="1"/>
  <c r="N151" i="1"/>
  <c r="M151" i="1"/>
  <c r="L151" i="1"/>
  <c r="J151" i="1"/>
  <c r="I151" i="1"/>
  <c r="N150" i="1"/>
  <c r="M150" i="1"/>
  <c r="L150" i="1"/>
  <c r="J150" i="1"/>
  <c r="I150" i="1"/>
  <c r="N149" i="1"/>
  <c r="M149" i="1"/>
  <c r="L149" i="1"/>
  <c r="J149" i="1"/>
  <c r="I149" i="1"/>
  <c r="N148" i="1"/>
  <c r="M148" i="1"/>
  <c r="L148" i="1"/>
  <c r="J148" i="1"/>
  <c r="I148" i="1"/>
  <c r="N147" i="1"/>
  <c r="M147" i="1" s="1"/>
  <c r="L147" i="1"/>
  <c r="J147" i="1"/>
  <c r="I147" i="1"/>
  <c r="N146" i="1"/>
  <c r="M146" i="1" s="1"/>
  <c r="L146" i="1"/>
  <c r="J146" i="1"/>
  <c r="I146" i="1"/>
  <c r="N145" i="1"/>
  <c r="M145" i="1" s="1"/>
  <c r="L145" i="1"/>
  <c r="J145" i="1"/>
  <c r="I145" i="1"/>
  <c r="N144" i="1"/>
  <c r="M144" i="1"/>
  <c r="L144" i="1"/>
  <c r="J144" i="1"/>
  <c r="I144" i="1"/>
  <c r="N143" i="1"/>
  <c r="M143" i="1" s="1"/>
  <c r="L143" i="1"/>
  <c r="J143" i="1"/>
  <c r="I143" i="1"/>
  <c r="N142" i="1"/>
  <c r="M142" i="1" s="1"/>
  <c r="L142" i="1"/>
  <c r="J142" i="1"/>
  <c r="I142" i="1"/>
  <c r="N141" i="1"/>
  <c r="M141" i="1" s="1"/>
  <c r="L141" i="1"/>
  <c r="J141" i="1"/>
  <c r="I141" i="1"/>
  <c r="N140" i="1"/>
  <c r="M140" i="1"/>
  <c r="L140" i="1"/>
  <c r="J140" i="1"/>
  <c r="I140" i="1"/>
  <c r="N139" i="1"/>
  <c r="M139" i="1"/>
  <c r="L139" i="1"/>
  <c r="J139" i="1"/>
  <c r="I139" i="1"/>
  <c r="N138" i="1"/>
  <c r="M138" i="1"/>
  <c r="L138" i="1"/>
  <c r="J138" i="1"/>
  <c r="I138" i="1"/>
  <c r="N137" i="1"/>
  <c r="M137" i="1"/>
  <c r="L137" i="1"/>
  <c r="J137" i="1"/>
  <c r="I137" i="1"/>
  <c r="N136" i="1"/>
  <c r="M136" i="1"/>
  <c r="L136" i="1"/>
  <c r="J136" i="1"/>
  <c r="I136" i="1"/>
  <c r="N135" i="1"/>
  <c r="M135" i="1" s="1"/>
  <c r="L135" i="1"/>
  <c r="J135" i="1"/>
  <c r="I135" i="1"/>
  <c r="N134" i="1"/>
  <c r="M134" i="1" s="1"/>
  <c r="L134" i="1"/>
  <c r="J134" i="1"/>
  <c r="I134" i="1"/>
  <c r="N133" i="1"/>
  <c r="M133" i="1" s="1"/>
  <c r="L133" i="1"/>
  <c r="J133" i="1"/>
  <c r="I133" i="1"/>
  <c r="N132" i="1"/>
  <c r="M132" i="1"/>
  <c r="L132" i="1"/>
  <c r="J132" i="1"/>
  <c r="I132" i="1"/>
  <c r="N131" i="1"/>
  <c r="M131" i="1" s="1"/>
  <c r="L131" i="1"/>
  <c r="J131" i="1"/>
  <c r="I131" i="1"/>
  <c r="N130" i="1"/>
  <c r="M130" i="1" s="1"/>
  <c r="L130" i="1"/>
  <c r="J130" i="1"/>
  <c r="I130" i="1"/>
  <c r="N129" i="1"/>
  <c r="M129" i="1" s="1"/>
  <c r="L129" i="1"/>
  <c r="J129" i="1"/>
  <c r="I129" i="1"/>
  <c r="N128" i="1"/>
  <c r="M128" i="1"/>
  <c r="L128" i="1"/>
  <c r="J128" i="1"/>
  <c r="I128" i="1"/>
  <c r="N127" i="1"/>
  <c r="M127" i="1"/>
  <c r="L127" i="1"/>
  <c r="J127" i="1"/>
  <c r="I127" i="1"/>
  <c r="N126" i="1"/>
  <c r="M126" i="1"/>
  <c r="L126" i="1"/>
  <c r="J126" i="1"/>
  <c r="I126" i="1"/>
  <c r="N125" i="1"/>
  <c r="M125" i="1"/>
  <c r="L125" i="1"/>
  <c r="J125" i="1"/>
  <c r="I125" i="1"/>
  <c r="N124" i="1"/>
  <c r="M124" i="1"/>
  <c r="L124" i="1"/>
  <c r="J124" i="1"/>
  <c r="I124" i="1"/>
  <c r="N123" i="1"/>
  <c r="M123" i="1" s="1"/>
  <c r="L123" i="1"/>
  <c r="J123" i="1"/>
  <c r="I123" i="1"/>
  <c r="N122" i="1"/>
  <c r="M122" i="1" s="1"/>
  <c r="L122" i="1"/>
  <c r="J122" i="1"/>
  <c r="I122" i="1"/>
  <c r="N121" i="1"/>
  <c r="M121" i="1" s="1"/>
  <c r="L121" i="1"/>
  <c r="J121" i="1"/>
  <c r="I121" i="1"/>
  <c r="N120" i="1"/>
  <c r="M120" i="1"/>
  <c r="L120" i="1"/>
  <c r="J120" i="1"/>
  <c r="I120" i="1"/>
  <c r="N119" i="1"/>
  <c r="M119" i="1" s="1"/>
  <c r="L119" i="1"/>
  <c r="J119" i="1"/>
  <c r="I119" i="1"/>
  <c r="N118" i="1"/>
  <c r="M118" i="1" s="1"/>
  <c r="L118" i="1"/>
  <c r="J118" i="1"/>
  <c r="I118" i="1"/>
  <c r="N117" i="1"/>
  <c r="M117" i="1" s="1"/>
  <c r="L117" i="1"/>
  <c r="J117" i="1"/>
  <c r="I117" i="1"/>
  <c r="N116" i="1"/>
  <c r="M116" i="1"/>
  <c r="L116" i="1"/>
  <c r="J116" i="1"/>
  <c r="I116" i="1"/>
  <c r="N115" i="1"/>
  <c r="M115" i="1"/>
  <c r="L115" i="1"/>
  <c r="J115" i="1"/>
  <c r="I115" i="1"/>
  <c r="N114" i="1"/>
  <c r="M114" i="1"/>
  <c r="L114" i="1"/>
  <c r="J114" i="1"/>
  <c r="I114" i="1"/>
  <c r="N113" i="1"/>
  <c r="M113" i="1"/>
  <c r="L113" i="1"/>
  <c r="J113" i="1"/>
  <c r="I113" i="1"/>
  <c r="N112" i="1"/>
  <c r="M112" i="1"/>
  <c r="L112" i="1"/>
  <c r="J112" i="1"/>
  <c r="I112" i="1"/>
  <c r="N111" i="1"/>
  <c r="M111" i="1"/>
  <c r="L111" i="1"/>
  <c r="J111" i="1"/>
  <c r="I111" i="1"/>
  <c r="N110" i="1"/>
  <c r="M110" i="1" s="1"/>
  <c r="L110" i="1"/>
  <c r="J110" i="1"/>
  <c r="I110" i="1"/>
  <c r="N109" i="1"/>
  <c r="M109" i="1" s="1"/>
  <c r="L109" i="1"/>
  <c r="J109" i="1"/>
  <c r="I109" i="1"/>
  <c r="N108" i="1"/>
  <c r="M108" i="1"/>
  <c r="L108" i="1"/>
  <c r="J108" i="1"/>
  <c r="I108" i="1"/>
  <c r="N107" i="1"/>
  <c r="M107" i="1" s="1"/>
  <c r="L107" i="1"/>
  <c r="J107" i="1"/>
  <c r="I107" i="1"/>
  <c r="N106" i="1"/>
  <c r="M106" i="1" s="1"/>
  <c r="L106" i="1"/>
  <c r="J106" i="1"/>
  <c r="I106" i="1"/>
  <c r="N105" i="1"/>
  <c r="M105" i="1" s="1"/>
  <c r="L105" i="1"/>
  <c r="J105" i="1"/>
  <c r="I105" i="1"/>
  <c r="N104" i="1"/>
  <c r="M104" i="1"/>
  <c r="L104" i="1"/>
  <c r="J104" i="1"/>
  <c r="I104" i="1"/>
  <c r="N103" i="1"/>
  <c r="M103" i="1"/>
  <c r="L103" i="1"/>
  <c r="J103" i="1"/>
  <c r="I103" i="1"/>
  <c r="N102" i="1"/>
  <c r="M102" i="1"/>
  <c r="L102" i="1"/>
  <c r="J102" i="1"/>
  <c r="I102" i="1"/>
  <c r="N101" i="1"/>
  <c r="M101" i="1"/>
  <c r="L101" i="1"/>
  <c r="J101" i="1"/>
  <c r="I101" i="1"/>
  <c r="N100" i="1"/>
  <c r="M100" i="1"/>
  <c r="L100" i="1"/>
  <c r="J100" i="1"/>
  <c r="I100" i="1"/>
  <c r="N99" i="1"/>
  <c r="M99" i="1"/>
  <c r="L99" i="1"/>
  <c r="J99" i="1"/>
  <c r="I99" i="1"/>
  <c r="N98" i="1"/>
  <c r="M98" i="1" s="1"/>
  <c r="L98" i="1"/>
  <c r="J98" i="1"/>
  <c r="I98" i="1"/>
  <c r="N97" i="1"/>
  <c r="M97" i="1" s="1"/>
  <c r="L97" i="1"/>
  <c r="J97" i="1"/>
  <c r="I97" i="1"/>
  <c r="N96" i="1"/>
  <c r="M96" i="1"/>
  <c r="L96" i="1"/>
  <c r="J96" i="1"/>
  <c r="I96" i="1"/>
  <c r="N95" i="1"/>
  <c r="M95" i="1" s="1"/>
  <c r="L95" i="1"/>
  <c r="J95" i="1"/>
  <c r="I95" i="1"/>
  <c r="N94" i="1"/>
  <c r="M94" i="1" s="1"/>
  <c r="L94" i="1"/>
  <c r="J94" i="1"/>
  <c r="I94" i="1"/>
  <c r="N93" i="1"/>
  <c r="M93" i="1" s="1"/>
  <c r="L93" i="1"/>
  <c r="J93" i="1"/>
  <c r="I93" i="1"/>
  <c r="N92" i="1"/>
  <c r="M92" i="1"/>
  <c r="L92" i="1"/>
  <c r="J92" i="1"/>
  <c r="I92" i="1"/>
  <c r="N91" i="1"/>
  <c r="M91" i="1"/>
  <c r="L91" i="1"/>
  <c r="J91" i="1"/>
  <c r="I91" i="1"/>
  <c r="N90" i="1"/>
  <c r="M90" i="1"/>
  <c r="L90" i="1"/>
  <c r="J90" i="1"/>
  <c r="I90" i="1"/>
  <c r="N89" i="1"/>
  <c r="M89" i="1"/>
  <c r="L89" i="1"/>
  <c r="J89" i="1"/>
  <c r="I89" i="1"/>
  <c r="N88" i="1"/>
  <c r="M88" i="1"/>
  <c r="L88" i="1"/>
  <c r="J88" i="1"/>
  <c r="I88" i="1"/>
  <c r="N87" i="1"/>
  <c r="M87" i="1"/>
  <c r="L87" i="1"/>
  <c r="J87" i="1"/>
  <c r="I87" i="1"/>
  <c r="N86" i="1"/>
  <c r="M86" i="1" s="1"/>
  <c r="L86" i="1"/>
  <c r="J86" i="1"/>
  <c r="I86" i="1"/>
  <c r="N85" i="1"/>
  <c r="M85" i="1" s="1"/>
  <c r="L85" i="1"/>
  <c r="J85" i="1"/>
  <c r="I85" i="1"/>
  <c r="N84" i="1"/>
  <c r="M84" i="1"/>
  <c r="L84" i="1"/>
  <c r="J84" i="1"/>
  <c r="I84" i="1"/>
  <c r="N83" i="1"/>
  <c r="M83" i="1" s="1"/>
  <c r="L83" i="1"/>
  <c r="J83" i="1"/>
  <c r="I83" i="1"/>
  <c r="N82" i="1"/>
  <c r="M82" i="1" s="1"/>
  <c r="L82" i="1"/>
  <c r="J82" i="1"/>
  <c r="I82" i="1"/>
  <c r="N81" i="1"/>
  <c r="M81" i="1" s="1"/>
  <c r="L81" i="1"/>
  <c r="J81" i="1"/>
  <c r="I81" i="1"/>
  <c r="N80" i="1"/>
  <c r="M80" i="1"/>
  <c r="L80" i="1"/>
  <c r="J80" i="1"/>
  <c r="I80" i="1"/>
  <c r="N79" i="1"/>
  <c r="M79" i="1"/>
  <c r="L79" i="1"/>
  <c r="J79" i="1"/>
  <c r="I79" i="1"/>
  <c r="N78" i="1"/>
  <c r="M78" i="1"/>
  <c r="L78" i="1"/>
  <c r="J78" i="1"/>
  <c r="I78" i="1"/>
  <c r="N77" i="1"/>
  <c r="M77" i="1"/>
  <c r="L77" i="1"/>
  <c r="J77" i="1"/>
  <c r="I77" i="1"/>
  <c r="N76" i="1"/>
  <c r="M76" i="1"/>
  <c r="L76" i="1"/>
  <c r="J76" i="1"/>
  <c r="I76" i="1"/>
  <c r="N75" i="1"/>
  <c r="M75" i="1"/>
  <c r="L75" i="1"/>
  <c r="J75" i="1"/>
  <c r="I75" i="1"/>
  <c r="N74" i="1"/>
  <c r="M74" i="1" s="1"/>
  <c r="L74" i="1"/>
  <c r="J74" i="1"/>
  <c r="I74" i="1"/>
  <c r="N73" i="1"/>
  <c r="M73" i="1" s="1"/>
  <c r="L73" i="1"/>
  <c r="J73" i="1"/>
  <c r="I73" i="1"/>
  <c r="N72" i="1"/>
  <c r="M72" i="1"/>
  <c r="L72" i="1"/>
  <c r="J72" i="1"/>
  <c r="I72" i="1"/>
  <c r="N71" i="1"/>
  <c r="M71" i="1" s="1"/>
  <c r="L71" i="1"/>
  <c r="J71" i="1"/>
  <c r="I71" i="1"/>
  <c r="N70" i="1"/>
  <c r="M70" i="1" s="1"/>
  <c r="L70" i="1"/>
  <c r="J70" i="1"/>
  <c r="I70" i="1"/>
  <c r="N69" i="1"/>
  <c r="M69" i="1" s="1"/>
  <c r="L69" i="1"/>
  <c r="J69" i="1"/>
  <c r="I69" i="1"/>
  <c r="N68" i="1"/>
  <c r="M68" i="1"/>
  <c r="L68" i="1"/>
  <c r="J68" i="1"/>
  <c r="I68" i="1"/>
  <c r="N67" i="1"/>
  <c r="M67" i="1"/>
  <c r="L67" i="1"/>
  <c r="J67" i="1"/>
  <c r="I67" i="1"/>
  <c r="N66" i="1"/>
  <c r="M66" i="1"/>
  <c r="L66" i="1"/>
  <c r="J66" i="1"/>
  <c r="I66" i="1"/>
  <c r="N65" i="1"/>
  <c r="M65" i="1"/>
  <c r="L65" i="1"/>
  <c r="J65" i="1"/>
  <c r="I65" i="1"/>
  <c r="N64" i="1"/>
  <c r="M64" i="1"/>
  <c r="L64" i="1"/>
  <c r="J64" i="1"/>
  <c r="I64" i="1"/>
  <c r="N63" i="1"/>
  <c r="M63" i="1"/>
  <c r="L63" i="1"/>
  <c r="J63" i="1"/>
  <c r="I63" i="1"/>
  <c r="N62" i="1"/>
  <c r="M62" i="1" s="1"/>
  <c r="L62" i="1"/>
  <c r="J62" i="1"/>
  <c r="I62" i="1"/>
  <c r="N61" i="1"/>
  <c r="M61" i="1" s="1"/>
  <c r="L61" i="1"/>
  <c r="J61" i="1"/>
  <c r="I61" i="1"/>
  <c r="N60" i="1"/>
  <c r="M60" i="1"/>
  <c r="L60" i="1"/>
  <c r="J60" i="1"/>
  <c r="I60" i="1"/>
  <c r="N59" i="1"/>
  <c r="M59" i="1" s="1"/>
  <c r="L59" i="1"/>
  <c r="J59" i="1"/>
  <c r="I59" i="1"/>
  <c r="N58" i="1"/>
  <c r="M58" i="1" s="1"/>
  <c r="L58" i="1"/>
  <c r="J58" i="1"/>
  <c r="I58" i="1"/>
  <c r="N57" i="1"/>
  <c r="M57" i="1" s="1"/>
  <c r="L57" i="1"/>
  <c r="J57" i="1"/>
  <c r="I57" i="1"/>
  <c r="N56" i="1"/>
  <c r="M56" i="1"/>
  <c r="L56" i="1"/>
  <c r="J56" i="1"/>
  <c r="I56" i="1"/>
  <c r="N55" i="1"/>
  <c r="M55" i="1"/>
  <c r="L55" i="1"/>
  <c r="J55" i="1"/>
  <c r="I55" i="1"/>
  <c r="N54" i="1"/>
  <c r="M54" i="1"/>
  <c r="L54" i="1"/>
  <c r="J54" i="1"/>
  <c r="I54" i="1"/>
  <c r="N53" i="1"/>
  <c r="M53" i="1"/>
  <c r="L53" i="1"/>
  <c r="J53" i="1"/>
  <c r="I53" i="1"/>
  <c r="N52" i="1"/>
  <c r="M52" i="1"/>
  <c r="L52" i="1"/>
  <c r="J52" i="1"/>
  <c r="I52" i="1"/>
  <c r="N51" i="1"/>
  <c r="M51" i="1"/>
  <c r="L51" i="1"/>
  <c r="J51" i="1"/>
  <c r="I51" i="1"/>
  <c r="N50" i="1"/>
  <c r="M50" i="1" s="1"/>
  <c r="L50" i="1"/>
  <c r="J50" i="1"/>
  <c r="I50" i="1"/>
  <c r="N49" i="1"/>
  <c r="M49" i="1" s="1"/>
  <c r="L49" i="1"/>
  <c r="J49" i="1"/>
  <c r="I49" i="1"/>
  <c r="N48" i="1"/>
  <c r="M48" i="1"/>
  <c r="L48" i="1"/>
  <c r="J48" i="1"/>
  <c r="I48" i="1"/>
  <c r="N47" i="1"/>
  <c r="M47" i="1" s="1"/>
  <c r="L47" i="1"/>
  <c r="J47" i="1"/>
  <c r="I47" i="1"/>
  <c r="N46" i="1"/>
  <c r="M46" i="1" s="1"/>
  <c r="L46" i="1"/>
  <c r="J46" i="1"/>
  <c r="I46" i="1"/>
  <c r="N45" i="1"/>
  <c r="M45" i="1" s="1"/>
  <c r="L45" i="1"/>
  <c r="J45" i="1"/>
  <c r="I45" i="1"/>
  <c r="N44" i="1"/>
  <c r="M44" i="1"/>
  <c r="L44" i="1"/>
  <c r="J44" i="1"/>
  <c r="I44" i="1"/>
  <c r="N43" i="1"/>
  <c r="M43" i="1"/>
  <c r="L43" i="1"/>
  <c r="J43" i="1"/>
  <c r="I43" i="1"/>
  <c r="N42" i="1"/>
  <c r="M42" i="1"/>
  <c r="L42" i="1"/>
  <c r="J42" i="1"/>
  <c r="I42" i="1"/>
  <c r="N41" i="1"/>
  <c r="M41" i="1"/>
  <c r="L41" i="1"/>
  <c r="J41" i="1"/>
  <c r="I41" i="1"/>
  <c r="N40" i="1"/>
  <c r="M40" i="1"/>
  <c r="L40" i="1"/>
  <c r="J40" i="1"/>
  <c r="I40" i="1"/>
  <c r="N39" i="1"/>
  <c r="M39" i="1"/>
  <c r="L39" i="1"/>
  <c r="J39" i="1"/>
  <c r="I39" i="1"/>
  <c r="N38" i="1"/>
  <c r="M38" i="1" s="1"/>
  <c r="L38" i="1"/>
  <c r="J38" i="1"/>
  <c r="I38" i="1"/>
  <c r="N37" i="1"/>
  <c r="M37" i="1" s="1"/>
  <c r="L37" i="1"/>
  <c r="J37" i="1"/>
  <c r="I37" i="1"/>
  <c r="N36" i="1"/>
  <c r="M36" i="1"/>
  <c r="L36" i="1"/>
  <c r="J36" i="1"/>
  <c r="I36" i="1"/>
  <c r="N35" i="1"/>
  <c r="M35" i="1" s="1"/>
  <c r="L35" i="1"/>
  <c r="J35" i="1"/>
  <c r="I35" i="1"/>
  <c r="N34" i="1"/>
  <c r="M34" i="1" s="1"/>
  <c r="L34" i="1"/>
  <c r="J34" i="1"/>
  <c r="I34" i="1"/>
  <c r="N33" i="1"/>
  <c r="M33" i="1" s="1"/>
  <c r="L33" i="1"/>
  <c r="J33" i="1"/>
  <c r="I33" i="1"/>
  <c r="N32" i="1"/>
  <c r="M32" i="1"/>
  <c r="L32" i="1"/>
  <c r="J32" i="1"/>
  <c r="I32" i="1"/>
  <c r="N31" i="1"/>
  <c r="M31" i="1"/>
  <c r="L31" i="1"/>
  <c r="J31" i="1"/>
  <c r="I31" i="1"/>
  <c r="N30" i="1"/>
  <c r="M30" i="1"/>
  <c r="L30" i="1"/>
  <c r="J30" i="1"/>
  <c r="I30" i="1"/>
  <c r="N29" i="1"/>
  <c r="M29" i="1"/>
  <c r="L29" i="1"/>
  <c r="J29" i="1"/>
  <c r="I29" i="1"/>
  <c r="N28" i="1"/>
  <c r="M28" i="1"/>
  <c r="L28" i="1"/>
  <c r="J28" i="1"/>
  <c r="I28" i="1"/>
  <c r="N27" i="1"/>
  <c r="M27" i="1"/>
  <c r="L27" i="1"/>
  <c r="J27" i="1"/>
  <c r="I27" i="1"/>
  <c r="N26" i="1"/>
  <c r="M26" i="1" s="1"/>
  <c r="L26" i="1"/>
  <c r="J26" i="1"/>
  <c r="I26" i="1"/>
  <c r="N25" i="1"/>
  <c r="M25" i="1" s="1"/>
  <c r="L25" i="1"/>
  <c r="J25" i="1"/>
  <c r="I25" i="1"/>
  <c r="N24" i="1"/>
  <c r="M24" i="1"/>
  <c r="L24" i="1"/>
  <c r="J24" i="1"/>
  <c r="I24" i="1"/>
  <c r="N23" i="1"/>
  <c r="M23" i="1" s="1"/>
  <c r="L23" i="1"/>
  <c r="J23" i="1"/>
  <c r="I23" i="1"/>
  <c r="N22" i="1"/>
  <c r="M22" i="1" s="1"/>
  <c r="L22" i="1"/>
  <c r="J22" i="1"/>
  <c r="I22" i="1"/>
  <c r="N21" i="1"/>
  <c r="M21" i="1" s="1"/>
  <c r="L21" i="1"/>
  <c r="J21" i="1"/>
  <c r="I21" i="1"/>
  <c r="N20" i="1"/>
  <c r="M20" i="1"/>
  <c r="L20" i="1"/>
  <c r="J20" i="1"/>
  <c r="I20" i="1"/>
  <c r="N19" i="1"/>
  <c r="M19" i="1"/>
  <c r="L19" i="1"/>
  <c r="J19" i="1"/>
  <c r="I19" i="1"/>
  <c r="N18" i="1"/>
  <c r="M18" i="1"/>
  <c r="L18" i="1"/>
  <c r="J18" i="1"/>
  <c r="I18" i="1"/>
  <c r="N17" i="1"/>
  <c r="M17" i="1"/>
  <c r="L17" i="1"/>
  <c r="J17" i="1"/>
  <c r="I17" i="1"/>
  <c r="N16" i="1"/>
  <c r="M16" i="1"/>
  <c r="L16" i="1"/>
  <c r="J16" i="1"/>
  <c r="I16" i="1"/>
  <c r="N15" i="1"/>
  <c r="M15" i="1"/>
  <c r="L15" i="1"/>
  <c r="J15" i="1"/>
  <c r="I15" i="1"/>
  <c r="N14" i="1"/>
  <c r="M14" i="1" s="1"/>
  <c r="L14" i="1"/>
  <c r="J14" i="1"/>
  <c r="I14" i="1"/>
  <c r="N13" i="1"/>
  <c r="M13" i="1" s="1"/>
  <c r="L13" i="1"/>
  <c r="J13" i="1"/>
  <c r="I13" i="1"/>
  <c r="N12" i="1"/>
  <c r="M12" i="1"/>
  <c r="L12" i="1"/>
  <c r="J12" i="1"/>
  <c r="I12" i="1"/>
  <c r="N11" i="1"/>
  <c r="M11" i="1" s="1"/>
  <c r="L11" i="1"/>
  <c r="J11" i="1"/>
  <c r="I11" i="1"/>
  <c r="N10" i="1"/>
  <c r="M10" i="1" s="1"/>
  <c r="L10" i="1"/>
  <c r="J10" i="1"/>
  <c r="I10" i="1"/>
  <c r="N9" i="1"/>
  <c r="M9" i="1" s="1"/>
  <c r="L9" i="1"/>
  <c r="J9" i="1"/>
  <c r="I9" i="1"/>
  <c r="N8" i="1"/>
  <c r="M8" i="1"/>
  <c r="L8" i="1"/>
  <c r="J8" i="1"/>
  <c r="I8" i="1"/>
  <c r="N7" i="1"/>
  <c r="M7" i="1"/>
  <c r="L7" i="1"/>
  <c r="J7" i="1"/>
  <c r="I7" i="1"/>
  <c r="N6" i="1"/>
  <c r="M6" i="1"/>
  <c r="L6" i="1"/>
  <c r="J6" i="1"/>
  <c r="I6" i="1"/>
  <c r="N5" i="1"/>
  <c r="M5" i="1"/>
  <c r="L5" i="1"/>
  <c r="J5" i="1"/>
  <c r="I5" i="1"/>
  <c r="N4" i="1"/>
  <c r="M4" i="1"/>
  <c r="L4" i="1"/>
  <c r="J4" i="1"/>
  <c r="I4" i="1"/>
  <c r="N3" i="1"/>
  <c r="M3" i="1"/>
  <c r="L3" i="1"/>
  <c r="J3" i="1"/>
  <c r="I3" i="1"/>
</calcChain>
</file>

<file path=xl/sharedStrings.xml><?xml version="1.0" encoding="utf-8"?>
<sst xmlns="http://schemas.openxmlformats.org/spreadsheetml/2006/main" count="2058" uniqueCount="917">
  <si>
    <t xml:space="preserve">1-GASTON </t>
  </si>
  <si>
    <t>2-ANDRES</t>
  </si>
  <si>
    <t>3-JUAN PABLO CASTRO</t>
  </si>
  <si>
    <t>5-CIVICO</t>
  </si>
  <si>
    <t>4-DOMINGUEZ</t>
  </si>
  <si>
    <t>ESTA EL PAPEL</t>
  </si>
  <si>
    <t>ok</t>
  </si>
  <si>
    <t>incidente</t>
  </si>
  <si>
    <t>RUBRO</t>
  </si>
  <si>
    <t>Tipo</t>
  </si>
  <si>
    <t>Empresa</t>
  </si>
  <si>
    <t>Sucursal</t>
  </si>
  <si>
    <t>Nro. Serie</t>
  </si>
  <si>
    <t>Fecha Cierre</t>
  </si>
  <si>
    <t>LOCALIDAD</t>
  </si>
  <si>
    <t>KM</t>
  </si>
  <si>
    <t>VIATICOS</t>
  </si>
  <si>
    <t>Maps</t>
  </si>
  <si>
    <t>829953-0</t>
  </si>
  <si>
    <t>Impresoras</t>
  </si>
  <si>
    <t>Correctivo</t>
  </si>
  <si>
    <t>ADIUM</t>
  </si>
  <si>
    <t>San Juan</t>
  </si>
  <si>
    <t>Z831BJEF600001L</t>
  </si>
  <si>
    <t>826309-4</t>
  </si>
  <si>
    <t>829399-8</t>
  </si>
  <si>
    <t>Instalación-Desinstalación</t>
  </si>
  <si>
    <t>Gobierno de San Juan</t>
  </si>
  <si>
    <t>Escuela Miguel Cane de Bauchaceta</t>
  </si>
  <si>
    <t>XC75040181</t>
  </si>
  <si>
    <t>828581-0</t>
  </si>
  <si>
    <t>ZDBXBJCH1000FPP</t>
  </si>
  <si>
    <t>828676-7</t>
  </si>
  <si>
    <t>Escuela Sec. Alas Argentinas</t>
  </si>
  <si>
    <t>793H5F1</t>
  </si>
  <si>
    <t>829060-9</t>
  </si>
  <si>
    <t>Preventivo</t>
  </si>
  <si>
    <t>Escuela Barrio Frondizi</t>
  </si>
  <si>
    <t>79G3R0P</t>
  </si>
  <si>
    <t>829059-3</t>
  </si>
  <si>
    <t>ENI N.º 47 Jose Brochero</t>
  </si>
  <si>
    <t>79G1328</t>
  </si>
  <si>
    <t>829058-4</t>
  </si>
  <si>
    <t>Escuela Maria Luisa Villarino del Carril</t>
  </si>
  <si>
    <t>79G3F82</t>
  </si>
  <si>
    <t>829057-5</t>
  </si>
  <si>
    <t>Escuela Dr. Jose I. de la Roza</t>
  </si>
  <si>
    <t>79G496D</t>
  </si>
  <si>
    <t>829056-6</t>
  </si>
  <si>
    <t>ENI N.º 53 Los Colibries</t>
  </si>
  <si>
    <t>0ACTBJFJ50004DM</t>
  </si>
  <si>
    <t>829055-7</t>
  </si>
  <si>
    <t>JINZ N.º 42 Campaña del Desierto</t>
  </si>
  <si>
    <t>0ACTBJFK20001MJ</t>
  </si>
  <si>
    <t>829054-8</t>
  </si>
  <si>
    <t>Escuela Campaña del Desierto</t>
  </si>
  <si>
    <t>793PZH4</t>
  </si>
  <si>
    <t>829053-9</t>
  </si>
  <si>
    <t>EEE Alfredo Fortabat</t>
  </si>
  <si>
    <t>793FWRL</t>
  </si>
  <si>
    <t>829052-0</t>
  </si>
  <si>
    <t>JINZ N.º 38 Ed. Popular</t>
  </si>
  <si>
    <t>ZELLBJFK7000J5W</t>
  </si>
  <si>
    <t>829051-1</t>
  </si>
  <si>
    <t>Escuela Gral. Antonio G. Balcarce</t>
  </si>
  <si>
    <t>ZELLBJFJB0008BB</t>
  </si>
  <si>
    <t>829050-2</t>
  </si>
  <si>
    <t>ZELLBJFJA00027K</t>
  </si>
  <si>
    <t>829049-6</t>
  </si>
  <si>
    <t>Colegio Sec. Juan Pablo Echague</t>
  </si>
  <si>
    <t>79G15N9</t>
  </si>
  <si>
    <t>829048-7</t>
  </si>
  <si>
    <t>JINZ N.º 39 Pcia. de Corrientes</t>
  </si>
  <si>
    <t>ZELLBJFJA00020F</t>
  </si>
  <si>
    <t>829047-8</t>
  </si>
  <si>
    <t>Escuela Prov. Tec. N.º 8 Santa Lucia</t>
  </si>
  <si>
    <t>ZELLBJFJB0005FW</t>
  </si>
  <si>
    <t>829046-9</t>
  </si>
  <si>
    <t>Escuela Pcia. de Corrientes</t>
  </si>
  <si>
    <t>ZELLBJEJA00031L</t>
  </si>
  <si>
    <t>829045-0</t>
  </si>
  <si>
    <t>Escuela Juan A. Zapata</t>
  </si>
  <si>
    <t>ZELLBJFJ90000SM</t>
  </si>
  <si>
    <t>829044-1</t>
  </si>
  <si>
    <t>Escuela M. de Cervantes</t>
  </si>
  <si>
    <t>076UBJFH1000AAA</t>
  </si>
  <si>
    <t>829043-2</t>
  </si>
  <si>
    <t>Escuela Carlos Pellegrini</t>
  </si>
  <si>
    <t>07QWB9UG2A002EB</t>
  </si>
  <si>
    <t>829042-3</t>
  </si>
  <si>
    <t>ENI N.º 82</t>
  </si>
  <si>
    <t>793PZGP</t>
  </si>
  <si>
    <t>829041-4</t>
  </si>
  <si>
    <t>ENI N.º 64</t>
  </si>
  <si>
    <t>0ACTBJFJ50000QD</t>
  </si>
  <si>
    <t>829040-5</t>
  </si>
  <si>
    <t>Escuela Jose P. Cortinez</t>
  </si>
  <si>
    <t>07QWB9UG3A002XX</t>
  </si>
  <si>
    <t>829039-9</t>
  </si>
  <si>
    <t>Escuela de Educ. Popular</t>
  </si>
  <si>
    <t>793H9LD</t>
  </si>
  <si>
    <t>829334-1</t>
  </si>
  <si>
    <t>Escuela Mariano Necochea</t>
  </si>
  <si>
    <t>0ACTBJFJ90002MM</t>
  </si>
  <si>
    <t>829301-3</t>
  </si>
  <si>
    <t>Escuela Francisco de Villagra</t>
  </si>
  <si>
    <t>ZELLBJEJA00008F</t>
  </si>
  <si>
    <t>829300-4</t>
  </si>
  <si>
    <t>Escuela Valle de Tullum</t>
  </si>
  <si>
    <t>79G49CW</t>
  </si>
  <si>
    <t>829299-9</t>
  </si>
  <si>
    <t>Escuela N.° 20 Roque Saenz Peña</t>
  </si>
  <si>
    <t>ZELLBJFJB0006CR</t>
  </si>
  <si>
    <t>829297-1</t>
  </si>
  <si>
    <t>Escuela Antonia Villascusa</t>
  </si>
  <si>
    <t>ZELLBJFK90005ZX</t>
  </si>
  <si>
    <t>829295-3</t>
  </si>
  <si>
    <t>Escuela Graciela C. de Cantoni</t>
  </si>
  <si>
    <t>ZELLBJEJA0002VR</t>
  </si>
  <si>
    <t>829294-4</t>
  </si>
  <si>
    <t>ENI N.º 79</t>
  </si>
  <si>
    <t>ZELLBJFJA0002ZW</t>
  </si>
  <si>
    <t>829293-5</t>
  </si>
  <si>
    <t>Escuela Dr. Amable Jones</t>
  </si>
  <si>
    <t>794GMDP</t>
  </si>
  <si>
    <t>829291-7</t>
  </si>
  <si>
    <t>ENI N.º 59 Edgardo Mendoza</t>
  </si>
  <si>
    <t>0ACTBJFH90001XM</t>
  </si>
  <si>
    <t>829289-2</t>
  </si>
  <si>
    <t>ENI N.º 70</t>
  </si>
  <si>
    <t>0ACTBJFJ50003KW</t>
  </si>
  <si>
    <t>829288-3</t>
  </si>
  <si>
    <t>Escuela de Educ. Fisica</t>
  </si>
  <si>
    <t>793G8KT</t>
  </si>
  <si>
    <t>829287-4</t>
  </si>
  <si>
    <t>ENI N.º 7 Ayac Yanen</t>
  </si>
  <si>
    <t>0ACTBJFH70000BA</t>
  </si>
  <si>
    <t>829286-5</t>
  </si>
  <si>
    <t>Escuela Jose Aristobulo Garcia</t>
  </si>
  <si>
    <t>076UBJFG80001XL</t>
  </si>
  <si>
    <t>829061-8</t>
  </si>
  <si>
    <t>BRFY232588</t>
  </si>
  <si>
    <t>829370-3</t>
  </si>
  <si>
    <t>EEE Jose A. Terry</t>
  </si>
  <si>
    <t>07QWB9UG3A002YZ</t>
  </si>
  <si>
    <t>829328-0</t>
  </si>
  <si>
    <t>CN0CCDH015</t>
  </si>
  <si>
    <t>829292-6</t>
  </si>
  <si>
    <t>829208-7</t>
  </si>
  <si>
    <t>Deposito Central de Ministerio de Educacion</t>
  </si>
  <si>
    <t>79G15HY</t>
  </si>
  <si>
    <t>829184-8</t>
  </si>
  <si>
    <t>Escuela Jose Rudecindo Rojo</t>
  </si>
  <si>
    <t>ZELLBJFJA00031T</t>
  </si>
  <si>
    <t>829062-7</t>
  </si>
  <si>
    <t>Unidad de Gestion de Rawson</t>
  </si>
  <si>
    <t>7939B9F</t>
  </si>
  <si>
    <t>828974-6</t>
  </si>
  <si>
    <t>JUNTA RAMA TECNICA</t>
  </si>
  <si>
    <t>794BF13</t>
  </si>
  <si>
    <t>828962-1</t>
  </si>
  <si>
    <t>Escuela Pcial. de Santa Lucia</t>
  </si>
  <si>
    <t>79G321L</t>
  </si>
  <si>
    <t>828934-8</t>
  </si>
  <si>
    <t>Escuela S. J. Eudes</t>
  </si>
  <si>
    <t>793H5FV</t>
  </si>
  <si>
    <t>828924-1</t>
  </si>
  <si>
    <t>Escuela Tierra del Fuego</t>
  </si>
  <si>
    <t>0ACTBJFJ90002RR</t>
  </si>
  <si>
    <t>826141-2</t>
  </si>
  <si>
    <t>Escuela Armada Argentina</t>
  </si>
  <si>
    <t>793H5M3</t>
  </si>
  <si>
    <t>829557-0</t>
  </si>
  <si>
    <t>Escuela Normal Sup. Gral. San Martin</t>
  </si>
  <si>
    <t>CNCRS41637</t>
  </si>
  <si>
    <t>829556-1</t>
  </si>
  <si>
    <t>79G6XHW</t>
  </si>
  <si>
    <t>829555-2</t>
  </si>
  <si>
    <t>79G3Z6H</t>
  </si>
  <si>
    <t>829553-4</t>
  </si>
  <si>
    <t>Escuela Bernardino Rivadavia</t>
  </si>
  <si>
    <t>79G4MGC</t>
  </si>
  <si>
    <t>829552-5</t>
  </si>
  <si>
    <t>Escuela Clara Rosa Cortinez</t>
  </si>
  <si>
    <t>ZELLBJFK40006BE</t>
  </si>
  <si>
    <t>829550-7</t>
  </si>
  <si>
    <t>ENI N.º 31 Patricias Sanjuaninas</t>
  </si>
  <si>
    <t>076UBJFJA0005TV</t>
  </si>
  <si>
    <t>829549-1</t>
  </si>
  <si>
    <t>7946P78</t>
  </si>
  <si>
    <t>829548-2</t>
  </si>
  <si>
    <t>Escuela Pte. Hipolito Yrigoyen</t>
  </si>
  <si>
    <t>0ACTBJFJ400039E</t>
  </si>
  <si>
    <t>829364-2</t>
  </si>
  <si>
    <t>Escuela Werfield Salinas</t>
  </si>
  <si>
    <t>0ACTBJFJ50003TT</t>
  </si>
  <si>
    <t>829290-8</t>
  </si>
  <si>
    <t>Escuela Gral. Don Toribio de Luzuriaga</t>
  </si>
  <si>
    <t>7946PDZ</t>
  </si>
  <si>
    <t>829267-0</t>
  </si>
  <si>
    <t>0ACTBJFHB00004K</t>
  </si>
  <si>
    <t>829211-1</t>
  </si>
  <si>
    <t>Escuela Blas Parera</t>
  </si>
  <si>
    <t>0ACTBJFJ50001YL</t>
  </si>
  <si>
    <t>829188-4</t>
  </si>
  <si>
    <t>Escuela Prov. Chimbas I</t>
  </si>
  <si>
    <t>79G496H</t>
  </si>
  <si>
    <t>829020-1</t>
  </si>
  <si>
    <t>Escuela Sec. Antonio de la Torre</t>
  </si>
  <si>
    <t>79G2RRP</t>
  </si>
  <si>
    <t>828955-1</t>
  </si>
  <si>
    <t>Escuela Obrero Argentino</t>
  </si>
  <si>
    <t>79G15L7</t>
  </si>
  <si>
    <t>829633-9</t>
  </si>
  <si>
    <t>Escuela Sec. 9 de Julio</t>
  </si>
  <si>
    <t>79G4MFL</t>
  </si>
  <si>
    <t>829632-0</t>
  </si>
  <si>
    <t>C.E.N.T. N° 18</t>
  </si>
  <si>
    <t>79G3Z57</t>
  </si>
  <si>
    <t>829631-1</t>
  </si>
  <si>
    <t>Instituto de Enologia</t>
  </si>
  <si>
    <t>79G3HT1</t>
  </si>
  <si>
    <t>829630-2</t>
  </si>
  <si>
    <t>ENI N.º 63 25 de mayo</t>
  </si>
  <si>
    <t>79G1305</t>
  </si>
  <si>
    <t>829629-6</t>
  </si>
  <si>
    <t>Escuela Miguel de Azcuenaga</t>
  </si>
  <si>
    <t>0ACTBJFJ40003RF</t>
  </si>
  <si>
    <t>829628-7</t>
  </si>
  <si>
    <t>Escuela Pcia. de Buenos Aires</t>
  </si>
  <si>
    <t>076UBJFG80008YP</t>
  </si>
  <si>
    <t>829627-8</t>
  </si>
  <si>
    <t>JINZ Capital Luis J. Fontana</t>
  </si>
  <si>
    <t>0ACTBJFH900008M</t>
  </si>
  <si>
    <t>829626-9</t>
  </si>
  <si>
    <t>793G8G6</t>
  </si>
  <si>
    <t>829407-6</t>
  </si>
  <si>
    <t>829354-5</t>
  </si>
  <si>
    <t>Escuela Pcia. de Sgo. del Estero</t>
  </si>
  <si>
    <t>0ACTBJFH90003QA</t>
  </si>
  <si>
    <t>829302-2</t>
  </si>
  <si>
    <t>Escuela Carlos Guido Spano</t>
  </si>
  <si>
    <t>79G1C0B</t>
  </si>
  <si>
    <t>829257-3</t>
  </si>
  <si>
    <t>Escuela Josefa R. de Garcia</t>
  </si>
  <si>
    <t>79G3HW1</t>
  </si>
  <si>
    <t>829792-1</t>
  </si>
  <si>
    <t>Escuela Monseñor Silvino Martinez</t>
  </si>
  <si>
    <t>076UBJFJA0005QE</t>
  </si>
  <si>
    <t>829791-2</t>
  </si>
  <si>
    <t>Escuela Fray J. Santa Maria De Oro</t>
  </si>
  <si>
    <t>79G2RYG</t>
  </si>
  <si>
    <t>829790-3</t>
  </si>
  <si>
    <t>Escuela Antonio Torres</t>
  </si>
  <si>
    <t>79G2RY5</t>
  </si>
  <si>
    <t>829789-7</t>
  </si>
  <si>
    <t>EEE Ara San Juan</t>
  </si>
  <si>
    <t>0ACTBJFJB0000ZL</t>
  </si>
  <si>
    <t>829788-8</t>
  </si>
  <si>
    <t>Escuela Angel Domingo Rojas</t>
  </si>
  <si>
    <t>793FWTX</t>
  </si>
  <si>
    <t>829787-9</t>
  </si>
  <si>
    <t>ENI N.º 9 Sarah Eccleston</t>
  </si>
  <si>
    <t>0ACTBJFJ90000BL</t>
  </si>
  <si>
    <t>829786-0</t>
  </si>
  <si>
    <t>ENI N.° 4 Martha Salotti</t>
  </si>
  <si>
    <t>0ACTBJFJ900007K</t>
  </si>
  <si>
    <t>829785-1</t>
  </si>
  <si>
    <t>ENI N.º 2 Pinkanta</t>
  </si>
  <si>
    <t>0ACTBJFH70000AY</t>
  </si>
  <si>
    <t>829784-2</t>
  </si>
  <si>
    <t>ENI N.º 77</t>
  </si>
  <si>
    <t>0ACTBJFK80000WT</t>
  </si>
  <si>
    <t>829634-8</t>
  </si>
  <si>
    <t>829449-2</t>
  </si>
  <si>
    <t>EEE Juana Godoy de Bandes</t>
  </si>
  <si>
    <t>793F49Y</t>
  </si>
  <si>
    <t>829412-8</t>
  </si>
  <si>
    <t>Escuela Carmen de Peñaloza</t>
  </si>
  <si>
    <t>793G8L4</t>
  </si>
  <si>
    <t>829981-3</t>
  </si>
  <si>
    <t>ENI Nro 90</t>
  </si>
  <si>
    <t>79G15LK</t>
  </si>
  <si>
    <t>829969-1</t>
  </si>
  <si>
    <t>Escuela Normal Sup. Sarmiento</t>
  </si>
  <si>
    <t>79G4NYG</t>
  </si>
  <si>
    <t>829968-2</t>
  </si>
  <si>
    <t>EEE Luis Braille</t>
  </si>
  <si>
    <t>ZELLBJFJB00057V</t>
  </si>
  <si>
    <t>829967-3</t>
  </si>
  <si>
    <t>Escuela Pedro Fonseca</t>
  </si>
  <si>
    <t>79G15HT</t>
  </si>
  <si>
    <t>829966-4</t>
  </si>
  <si>
    <t>JINZ Bienvenida Sarmiento</t>
  </si>
  <si>
    <t>79G3F71</t>
  </si>
  <si>
    <t>829965-5</t>
  </si>
  <si>
    <t>ISFD Sarmiento</t>
  </si>
  <si>
    <t>ZELLBJFJB0006QB</t>
  </si>
  <si>
    <t>829964-6</t>
  </si>
  <si>
    <t>Escuela Francisco N. Laprida</t>
  </si>
  <si>
    <t>79G3Z7G</t>
  </si>
  <si>
    <t>829963-7</t>
  </si>
  <si>
    <t>Escuela Dr. Juan C. Albarracin</t>
  </si>
  <si>
    <t>79G3BTP</t>
  </si>
  <si>
    <t>829962-8</t>
  </si>
  <si>
    <t>Escuela Manuel Lainez</t>
  </si>
  <si>
    <t>79G5RN7</t>
  </si>
  <si>
    <t>829961-9</t>
  </si>
  <si>
    <t>Centro Polivalente de Arte</t>
  </si>
  <si>
    <t>793H5HR</t>
  </si>
  <si>
    <t>829960-0</t>
  </si>
  <si>
    <t>ENI N.º 35 Estrella de los Andes</t>
  </si>
  <si>
    <t>793PG58</t>
  </si>
  <si>
    <t>829959-4</t>
  </si>
  <si>
    <t>Escuela Prov. de la Capital</t>
  </si>
  <si>
    <t>79G0XZY</t>
  </si>
  <si>
    <t>829958-5</t>
  </si>
  <si>
    <t>7949FMR</t>
  </si>
  <si>
    <t>829957-6</t>
  </si>
  <si>
    <t>ENI N.º 3 Bienvenda Sarmiento</t>
  </si>
  <si>
    <t>076UBJFJA0007GN</t>
  </si>
  <si>
    <t>829956-7</t>
  </si>
  <si>
    <t>ISFD Gral. San Martin</t>
  </si>
  <si>
    <t>076UBJFJA0004DY</t>
  </si>
  <si>
    <t>829704-6</t>
  </si>
  <si>
    <t>828572-2</t>
  </si>
  <si>
    <t>Escuela Yapeyu</t>
  </si>
  <si>
    <t>79G3HWN</t>
  </si>
  <si>
    <t>828401-5</t>
  </si>
  <si>
    <t>Unidad De Gestion Iglesia</t>
  </si>
  <si>
    <t>793H9MB</t>
  </si>
  <si>
    <t>830052-6</t>
  </si>
  <si>
    <t>Escuela Manuel Belgrano</t>
  </si>
  <si>
    <t>79G1CGM</t>
  </si>
  <si>
    <t>830051-7</t>
  </si>
  <si>
    <t>Escuela Tte. 1ro. Francisco Ibañez</t>
  </si>
  <si>
    <t>79G3Z54</t>
  </si>
  <si>
    <t>830050-8</t>
  </si>
  <si>
    <t>ENI N.º 1 Federico Froebel</t>
  </si>
  <si>
    <t>0ACTBJFH90001GW</t>
  </si>
  <si>
    <t>830049-2</t>
  </si>
  <si>
    <t>Escuela Comandante Cabot</t>
  </si>
  <si>
    <t>076UBJFG8000C3B</t>
  </si>
  <si>
    <t>828110-6</t>
  </si>
  <si>
    <t>Escuela Franklin Rawson</t>
  </si>
  <si>
    <t>793H5FP</t>
  </si>
  <si>
    <t>830262-1</t>
  </si>
  <si>
    <t>Escuela ESTEBAN ECHEVERRIA</t>
  </si>
  <si>
    <t>79G6XGW</t>
  </si>
  <si>
    <t>830261-2</t>
  </si>
  <si>
    <t>Escuela Prov. Tec. N.° 1 ING. ROGELIO BOERO</t>
  </si>
  <si>
    <t>79G2RVL</t>
  </si>
  <si>
    <t>830260-3</t>
  </si>
  <si>
    <t>Escuela Prov. Tec. N.º 4</t>
  </si>
  <si>
    <t>79G2RY0</t>
  </si>
  <si>
    <t>830259-7</t>
  </si>
  <si>
    <t>Escuela Prov. Tec. N.º 5 San Juan</t>
  </si>
  <si>
    <t>79G3BR5</t>
  </si>
  <si>
    <t>830258-8</t>
  </si>
  <si>
    <t>Escuela Pcial. Tec. N.º 2</t>
  </si>
  <si>
    <t>0ACTBJFJ90003HP</t>
  </si>
  <si>
    <t>830257-9</t>
  </si>
  <si>
    <t>Escuela Prim. Capital Federal</t>
  </si>
  <si>
    <t>79G3LKD</t>
  </si>
  <si>
    <t>830256-0</t>
  </si>
  <si>
    <t>Escuela Prim. 9 de Julio</t>
  </si>
  <si>
    <t>ZELLBJFK700006H</t>
  </si>
  <si>
    <t>830253-3</t>
  </si>
  <si>
    <t>Escuela de Enologia</t>
  </si>
  <si>
    <t>79G1BX6</t>
  </si>
  <si>
    <t>830252-4</t>
  </si>
  <si>
    <t>JINZ N.º 41 Manuel Lainez</t>
  </si>
  <si>
    <t>79G2T48</t>
  </si>
  <si>
    <t>830251-5</t>
  </si>
  <si>
    <t>ENI N.º 78</t>
  </si>
  <si>
    <t>076UBJFH10000QJ</t>
  </si>
  <si>
    <t>830247-2</t>
  </si>
  <si>
    <t>Esc. de Fruticultura y Enologia</t>
  </si>
  <si>
    <t>0ACTBJFHB0001HM</t>
  </si>
  <si>
    <t>830246-3</t>
  </si>
  <si>
    <t>0ACTBJFJ500021X</t>
  </si>
  <si>
    <t>830245-4</t>
  </si>
  <si>
    <t>Escuela FLORENTINO AMEGHINO</t>
  </si>
  <si>
    <t>076UBJFH10000FE</t>
  </si>
  <si>
    <t>830244-5</t>
  </si>
  <si>
    <t>Escuela Paula A. De Sarmiento</t>
  </si>
  <si>
    <t>79G5VHY</t>
  </si>
  <si>
    <t>830243-6</t>
  </si>
  <si>
    <t>Escuela Sup. Mariano Moreno</t>
  </si>
  <si>
    <t>076UBJFH100004Z</t>
  </si>
  <si>
    <t>829996-5</t>
  </si>
  <si>
    <t>EEE Teresa de Asencio</t>
  </si>
  <si>
    <t>076UBJFH20001QL</t>
  </si>
  <si>
    <t>829989-5</t>
  </si>
  <si>
    <t>Escuela Juan Jufre</t>
  </si>
  <si>
    <t>0ACTBJFHB0000DX</t>
  </si>
  <si>
    <t>829870-8</t>
  </si>
  <si>
    <t>Esc. Paula A. de Sarmiento</t>
  </si>
  <si>
    <t>793PZK4</t>
  </si>
  <si>
    <t>829867-4</t>
  </si>
  <si>
    <t>Escuela Sabino Pignatari</t>
  </si>
  <si>
    <t>79G3HV6</t>
  </si>
  <si>
    <t>830400-9</t>
  </si>
  <si>
    <t>Colegio Nac. Mons. Dr. Pablo Cabrera</t>
  </si>
  <si>
    <t>79G4V0R</t>
  </si>
  <si>
    <t>830399-4</t>
  </si>
  <si>
    <t>79G4MKW</t>
  </si>
  <si>
    <t>830398-5</t>
  </si>
  <si>
    <t>EEE Merceditas de San Martin</t>
  </si>
  <si>
    <t>ZELLBJEJ50004RZ</t>
  </si>
  <si>
    <t>830397-6</t>
  </si>
  <si>
    <t>79G6094</t>
  </si>
  <si>
    <t>830396-7</t>
  </si>
  <si>
    <t>Biblioteca del Magisterio</t>
  </si>
  <si>
    <t>0ACTBJFH90002ZF</t>
  </si>
  <si>
    <t>830323-1</t>
  </si>
  <si>
    <t>Escuela albergue H. de Magallanes</t>
  </si>
  <si>
    <t>ZELLBJFJA00048Z</t>
  </si>
  <si>
    <t>830292-2</t>
  </si>
  <si>
    <t>830275-5</t>
  </si>
  <si>
    <t>830264-9</t>
  </si>
  <si>
    <t>830128-8</t>
  </si>
  <si>
    <t>830114-5</t>
  </si>
  <si>
    <t>830113-6</t>
  </si>
  <si>
    <t>Escuela Villicum</t>
  </si>
  <si>
    <t>0ACTBJFJ50000RA</t>
  </si>
  <si>
    <t>830105-7</t>
  </si>
  <si>
    <t>79G15H6</t>
  </si>
  <si>
    <t>830013-7</t>
  </si>
  <si>
    <t>ENI N.º 6</t>
  </si>
  <si>
    <t>ZELLBJFK9000Y6E</t>
  </si>
  <si>
    <t>829985-9</t>
  </si>
  <si>
    <t>829979-8</t>
  </si>
  <si>
    <t>Escuela Pedro Echague</t>
  </si>
  <si>
    <t>79G32GY</t>
  </si>
  <si>
    <t>829876-2</t>
  </si>
  <si>
    <t>830628-3</t>
  </si>
  <si>
    <t>Escuela Dra. Julieta Lanteri</t>
  </si>
  <si>
    <t>0ACTBJFJ40003GJ</t>
  </si>
  <si>
    <t>830503-5</t>
  </si>
  <si>
    <t>830502-6</t>
  </si>
  <si>
    <t>79G4987</t>
  </si>
  <si>
    <t>830461-0</t>
  </si>
  <si>
    <t>829804-5</t>
  </si>
  <si>
    <t>JINZ N.º 9</t>
  </si>
  <si>
    <t>0ACTBJFJ40003DM</t>
  </si>
  <si>
    <t>830808-7</t>
  </si>
  <si>
    <t>Escuela Pedro Bonifacio Palacios</t>
  </si>
  <si>
    <t>ZELLBJFJB00080T</t>
  </si>
  <si>
    <t>830807-8</t>
  </si>
  <si>
    <t>Escuela Pcia. de Chubut</t>
  </si>
  <si>
    <t>ZELLBJFJB00054M</t>
  </si>
  <si>
    <t>830806-9</t>
  </si>
  <si>
    <t>Escuela Dr. ALEJANDRO FLEMING</t>
  </si>
  <si>
    <t>79G2T13</t>
  </si>
  <si>
    <t>830805-0</t>
  </si>
  <si>
    <t>Escuela rural Ruben Dario</t>
  </si>
  <si>
    <t>ZELLBJEK30002WM</t>
  </si>
  <si>
    <t>830804-1</t>
  </si>
  <si>
    <t>Escuela Jose Marmol</t>
  </si>
  <si>
    <t>0ACTBJFK10000ZR</t>
  </si>
  <si>
    <t>830803-2</t>
  </si>
  <si>
    <t>Escuela Joaquin V. Gonzalez</t>
  </si>
  <si>
    <t>ZELLBJFJA0000PN</t>
  </si>
  <si>
    <t>830802-3</t>
  </si>
  <si>
    <t>Antenor Flores Vidal</t>
  </si>
  <si>
    <t>ZELLBJEK30003CB</t>
  </si>
  <si>
    <t>830801-4</t>
  </si>
  <si>
    <t>Escuela Monseñor Tomas S. Cruz</t>
  </si>
  <si>
    <t>ZELLBJEJ40002NY</t>
  </si>
  <si>
    <t>830800-5</t>
  </si>
  <si>
    <t>Escuela Niquivil</t>
  </si>
  <si>
    <t>79G4MFK</t>
  </si>
  <si>
    <t>830799-0</t>
  </si>
  <si>
    <t>076UBJFH10004AH</t>
  </si>
  <si>
    <t>830798-1</t>
  </si>
  <si>
    <t>Escuela rural 24 de Septiembre</t>
  </si>
  <si>
    <t>076UBJFH20000JN</t>
  </si>
  <si>
    <t>830797-2</t>
  </si>
  <si>
    <t>Escuela Gabriel Albarracin</t>
  </si>
  <si>
    <t>076UBJFH10003HN</t>
  </si>
  <si>
    <t>830796-3</t>
  </si>
  <si>
    <t>Escuela Dean G. Funes</t>
  </si>
  <si>
    <t>07QWB9UFAA0013F</t>
  </si>
  <si>
    <t>830795-4</t>
  </si>
  <si>
    <t>Escuela Agustin Gomez</t>
  </si>
  <si>
    <t>79G12Z4</t>
  </si>
  <si>
    <t>830794-5</t>
  </si>
  <si>
    <t>JINZ N.º 16 Jose Marmol</t>
  </si>
  <si>
    <t>0ACTBJFJ90000VE</t>
  </si>
  <si>
    <t>830793-6</t>
  </si>
  <si>
    <t>Escuela de Nivel Medio Pampa Vieja</t>
  </si>
  <si>
    <t>7946PC9</t>
  </si>
  <si>
    <t>830792-7</t>
  </si>
  <si>
    <t>JINZ N.º 18 Jose M. Zapiola</t>
  </si>
  <si>
    <t>0ACTBJFJ50000VL</t>
  </si>
  <si>
    <t>830757-4</t>
  </si>
  <si>
    <t>ZDBXB8GK3A00G7W</t>
  </si>
  <si>
    <t>830748-6</t>
  </si>
  <si>
    <t>793H5MV</t>
  </si>
  <si>
    <t>830747-7</t>
  </si>
  <si>
    <t>Agroindustrial 25 de Mayo</t>
  </si>
  <si>
    <t>830740-4</t>
  </si>
  <si>
    <t>0ACTBJFH70000HF</t>
  </si>
  <si>
    <t>830727-3</t>
  </si>
  <si>
    <t>CENTRO DE CONVENCIONES</t>
  </si>
  <si>
    <t>ZELLBJEJ500057D</t>
  </si>
  <si>
    <t>830723-7</t>
  </si>
  <si>
    <t>ZELLBJFK9000HJV</t>
  </si>
  <si>
    <t>830475-3</t>
  </si>
  <si>
    <t>Z831BJED80000NH</t>
  </si>
  <si>
    <t>830464-7</t>
  </si>
  <si>
    <t>076UBJFJ30002HF</t>
  </si>
  <si>
    <t>830932-3</t>
  </si>
  <si>
    <t>PROCESA SARMIENTO DE LENOIR</t>
  </si>
  <si>
    <t>79G1BYT</t>
  </si>
  <si>
    <t>830930-5</t>
  </si>
  <si>
    <t>Agrotecnica Ana Perez Ciani</t>
  </si>
  <si>
    <t>79G3Z4K</t>
  </si>
  <si>
    <t>830929-9</t>
  </si>
  <si>
    <t>EEE Juana A. de Padilla</t>
  </si>
  <si>
    <t>ZELLBJFJ90000YW</t>
  </si>
  <si>
    <t>830928-0</t>
  </si>
  <si>
    <t>Escuela Eusebio S. Zapata</t>
  </si>
  <si>
    <t>ZELLBJFK300010H</t>
  </si>
  <si>
    <t>830927-1</t>
  </si>
  <si>
    <t>ENI N.º 66 Pequeños Granaderos</t>
  </si>
  <si>
    <t>076UBJFH60000TW</t>
  </si>
  <si>
    <t>830926-2</t>
  </si>
  <si>
    <t>Escuela Granaderos de San Martin</t>
  </si>
  <si>
    <t>076UBJFG8000BTK</t>
  </si>
  <si>
    <t>830925-3</t>
  </si>
  <si>
    <t>JINZ Nro 32</t>
  </si>
  <si>
    <t>0ACTBJFH90001YT</t>
  </si>
  <si>
    <t>830851-9</t>
  </si>
  <si>
    <t>Escuela Esteban de Luca</t>
  </si>
  <si>
    <t>ZELLBJFJB0008CX</t>
  </si>
  <si>
    <t>830843-0</t>
  </si>
  <si>
    <t>PHCNG09415</t>
  </si>
  <si>
    <t>830842-1</t>
  </si>
  <si>
    <t>PHCNG09224</t>
  </si>
  <si>
    <t>830817-5</t>
  </si>
  <si>
    <t>Escuela Antonio Pulenta</t>
  </si>
  <si>
    <t>ZELLBJFK20007FR</t>
  </si>
  <si>
    <t>830776-9</t>
  </si>
  <si>
    <t>830760-8</t>
  </si>
  <si>
    <t>Escuela Pcia. de Neuquen</t>
  </si>
  <si>
    <t>79G1C02</t>
  </si>
  <si>
    <t>830679-7</t>
  </si>
  <si>
    <t>Escuela Rafael Obligado</t>
  </si>
  <si>
    <t>79G4P3W</t>
  </si>
  <si>
    <t>830612-2</t>
  </si>
  <si>
    <t>Escuela Pcia. de Jujuy</t>
  </si>
  <si>
    <t>ZELLBJFJA00018A</t>
  </si>
  <si>
    <t>831212-3</t>
  </si>
  <si>
    <t>Escuela Presbitero P. Lopez del Campo</t>
  </si>
  <si>
    <t>0ACTBJFH90001BM</t>
  </si>
  <si>
    <t>831164-7</t>
  </si>
  <si>
    <t>Escuela Bienvenida Sarmiento</t>
  </si>
  <si>
    <t>ZELLBJEK30003RR</t>
  </si>
  <si>
    <t>831163-8</t>
  </si>
  <si>
    <t>ENI N.° 37 Dr. Washinton Chavez</t>
  </si>
  <si>
    <t>ZELLBJFJA00004N</t>
  </si>
  <si>
    <t>831162-9</t>
  </si>
  <si>
    <t>ENI Nro 58</t>
  </si>
  <si>
    <t>ZELLBJFJB0007DV</t>
  </si>
  <si>
    <t>831161-0</t>
  </si>
  <si>
    <t>Escuela Agroindustrial Videla Cuello</t>
  </si>
  <si>
    <t>79G4MLN</t>
  </si>
  <si>
    <t>831160-1</t>
  </si>
  <si>
    <t>JINZ N.º 3 Pcia. de Chubut</t>
  </si>
  <si>
    <t>ZELLBJFK400045E</t>
  </si>
  <si>
    <t>831159-5</t>
  </si>
  <si>
    <t>Escuela Esteban A. Gascon</t>
  </si>
  <si>
    <t>79G1CD7</t>
  </si>
  <si>
    <t>831158-6</t>
  </si>
  <si>
    <t>Escuela Federico Cantoni</t>
  </si>
  <si>
    <t>ZELLBJFK40004WK</t>
  </si>
  <si>
    <t>831157-7</t>
  </si>
  <si>
    <t>Escuela Pcia. de la Pampa</t>
  </si>
  <si>
    <t>ZELLBJFJA00012E</t>
  </si>
  <si>
    <t>831156-8</t>
  </si>
  <si>
    <t>Escuela F. Justo Santa Maria de Oro</t>
  </si>
  <si>
    <t>79G3LDC</t>
  </si>
  <si>
    <t>831155-9</t>
  </si>
  <si>
    <t>Escuela Mariano Ianelli</t>
  </si>
  <si>
    <t>79G4MNF</t>
  </si>
  <si>
    <t>831154-0</t>
  </si>
  <si>
    <t>Escuela Abejitas de Sta. Rita</t>
  </si>
  <si>
    <t>ZELLBJFK300016K</t>
  </si>
  <si>
    <t>831153-1</t>
  </si>
  <si>
    <t>Escuela Dr. LUIS AGOTE</t>
  </si>
  <si>
    <t>79G3F8W</t>
  </si>
  <si>
    <t>831152-2</t>
  </si>
  <si>
    <t>JINZ Nro 32 Luis Agote (Anexo)</t>
  </si>
  <si>
    <t>0ACTBJFH90002XZ</t>
  </si>
  <si>
    <t>831151-3</t>
  </si>
  <si>
    <t>Escuela de Comercio Eusebio Dojorti</t>
  </si>
  <si>
    <t>793H5G7</t>
  </si>
  <si>
    <t>831150-4</t>
  </si>
  <si>
    <t>Escuela Abuelito Sarmiento</t>
  </si>
  <si>
    <t>0ACTBJFJ50001PM</t>
  </si>
  <si>
    <t>831149-8</t>
  </si>
  <si>
    <t>0ACTBJFJ50001MT</t>
  </si>
  <si>
    <t>831148-9</t>
  </si>
  <si>
    <t>0ACTBJFK80002AY</t>
  </si>
  <si>
    <t>831147-0</t>
  </si>
  <si>
    <t>Escuela Onofre Illanes</t>
  </si>
  <si>
    <t>7945BH3</t>
  </si>
  <si>
    <t>831146-1</t>
  </si>
  <si>
    <t>Escuela rural Dr. Calcagno</t>
  </si>
  <si>
    <t>076UBJFJA0004BR</t>
  </si>
  <si>
    <t>831145-2</t>
  </si>
  <si>
    <t>Escuela rural Buenaventura Luna</t>
  </si>
  <si>
    <t>0ACTBJFH90002VJ</t>
  </si>
  <si>
    <t>831144-3</t>
  </si>
  <si>
    <t>Escuela Juan de Echedgaray</t>
  </si>
  <si>
    <t>076UBJFH100021L</t>
  </si>
  <si>
    <t>831143-4</t>
  </si>
  <si>
    <t>JINZ N.º 19 Albergue J. V. Gonzalez</t>
  </si>
  <si>
    <t>07QWB9UG3A001RL</t>
  </si>
  <si>
    <t>831142-5</t>
  </si>
  <si>
    <t>Escuela Dr. Daniel S. Aubane</t>
  </si>
  <si>
    <t>0ACTBJFK20006QW</t>
  </si>
  <si>
    <t>831141-6</t>
  </si>
  <si>
    <t>Escuela Agrotecnica Manuel Belgrano</t>
  </si>
  <si>
    <t>0ACTBJFJ50000DE</t>
  </si>
  <si>
    <t>831074-5</t>
  </si>
  <si>
    <t>JINZ N.º 17 Pcia. de La Pampa</t>
  </si>
  <si>
    <t>0ACTBJFK200009P</t>
  </si>
  <si>
    <t>830872-2</t>
  </si>
  <si>
    <t>Escuela Albergue J. M. Estrada</t>
  </si>
  <si>
    <t>79G2T1D</t>
  </si>
  <si>
    <t>830868-9</t>
  </si>
  <si>
    <t>830867-0</t>
  </si>
  <si>
    <t>831441-3</t>
  </si>
  <si>
    <t>Escuela BARTOLOME DEL BONO</t>
  </si>
  <si>
    <t>79G5RLW</t>
  </si>
  <si>
    <t>831433-4</t>
  </si>
  <si>
    <t>PHCNG08796</t>
  </si>
  <si>
    <t>831295-6</t>
  </si>
  <si>
    <t>JINZ N.º 4</t>
  </si>
  <si>
    <t>076UBJFH300034A</t>
  </si>
  <si>
    <t>831294-7</t>
  </si>
  <si>
    <t>Escuela Autonomia B. del Bono</t>
  </si>
  <si>
    <t>ZELLBJEK30001PX</t>
  </si>
  <si>
    <t>831293-8</t>
  </si>
  <si>
    <t>Escuela Juan Ignacio Gorriti</t>
  </si>
  <si>
    <t>793PZG7</t>
  </si>
  <si>
    <t>831292-9</t>
  </si>
  <si>
    <t>0ACTBJFJ500010Y</t>
  </si>
  <si>
    <t>831291-0</t>
  </si>
  <si>
    <t>JINZ N.º 57 Juan Ignacio Gorriti</t>
  </si>
  <si>
    <t>0ACTBJFH900047B</t>
  </si>
  <si>
    <t>831290-1</t>
  </si>
  <si>
    <t>Escuela Florencia Nightingale</t>
  </si>
  <si>
    <t>076UBJFH10007EM</t>
  </si>
  <si>
    <t>831269-1</t>
  </si>
  <si>
    <t>Escuelas Primaria Alas Argentinas</t>
  </si>
  <si>
    <t>79G2T3H</t>
  </si>
  <si>
    <t>831268-2</t>
  </si>
  <si>
    <t>Escuela Primaria Barrio 7 de Septiembre</t>
  </si>
  <si>
    <t>79G3Z7V</t>
  </si>
  <si>
    <t>831224-8</t>
  </si>
  <si>
    <t>831094-9</t>
  </si>
  <si>
    <t>UNIDAD DE GESTION DE CAUCETE</t>
  </si>
  <si>
    <t>79G1C3V</t>
  </si>
  <si>
    <t>831093-0</t>
  </si>
  <si>
    <t>79G3Z4M</t>
  </si>
  <si>
    <t>831005-5</t>
  </si>
  <si>
    <t>07QWB9UFAA00AFJ</t>
  </si>
  <si>
    <t>831000-0</t>
  </si>
  <si>
    <t>Escuela Pcia. de San Juan</t>
  </si>
  <si>
    <t>ZELLBJFJB0006ED</t>
  </si>
  <si>
    <t>830996-1</t>
  </si>
  <si>
    <t>GABINETES TECNICOS INTERDISCIPLINARIOS</t>
  </si>
  <si>
    <t>79G4G13</t>
  </si>
  <si>
    <t>830873-1</t>
  </si>
  <si>
    <t>830764-4</t>
  </si>
  <si>
    <t>Escuela RAMON BARRERA</t>
  </si>
  <si>
    <t>79G4MMF</t>
  </si>
  <si>
    <t>830744-0</t>
  </si>
  <si>
    <t>830667-2</t>
  </si>
  <si>
    <t>831499-0</t>
  </si>
  <si>
    <t>Escuela Ejercito de los Andes</t>
  </si>
  <si>
    <t>ZELLBJEK300010R</t>
  </si>
  <si>
    <t>831498-1</t>
  </si>
  <si>
    <t>Escuela Regimiento de Patricios</t>
  </si>
  <si>
    <t>79G3HV0</t>
  </si>
  <si>
    <t>831497-2</t>
  </si>
  <si>
    <t>79G2RZD</t>
  </si>
  <si>
    <t>831496-3</t>
  </si>
  <si>
    <t>Escuela Vicente Lopez y Planes</t>
  </si>
  <si>
    <t>0ACTBJFH900034B</t>
  </si>
  <si>
    <t>831495-4</t>
  </si>
  <si>
    <t>ENI N.º 21 Huepil</t>
  </si>
  <si>
    <t>0ACTBJFK200011F</t>
  </si>
  <si>
    <t>831494-5</t>
  </si>
  <si>
    <t>Escuela Jose Maria Paz</t>
  </si>
  <si>
    <t>0ACTBJFH90002EM</t>
  </si>
  <si>
    <t>831493-6</t>
  </si>
  <si>
    <t>ENI N.º 19 Tani Tani</t>
  </si>
  <si>
    <t>0ACTBJFJ90001MX</t>
  </si>
  <si>
    <t>831492-7</t>
  </si>
  <si>
    <t>EEE MARIA MONTESSORI</t>
  </si>
  <si>
    <t>ZELLBJFJA0003TE</t>
  </si>
  <si>
    <t>831491-8</t>
  </si>
  <si>
    <t>Escuela Hipolito Vieytes</t>
  </si>
  <si>
    <t>79G2RRN</t>
  </si>
  <si>
    <t>831490-9</t>
  </si>
  <si>
    <t>ENI Manuel Belgrano</t>
  </si>
  <si>
    <t>79G1BZR</t>
  </si>
  <si>
    <t>831489-3</t>
  </si>
  <si>
    <t>79G3BPX</t>
  </si>
  <si>
    <t>831488-4</t>
  </si>
  <si>
    <t>79G4MMH</t>
  </si>
  <si>
    <t>831487-5</t>
  </si>
  <si>
    <t>Escuela Prim. Los Manantiales</t>
  </si>
  <si>
    <t>ZELLBJFJA0001WW</t>
  </si>
  <si>
    <t>831486-6</t>
  </si>
  <si>
    <t>ENI Papa Francisco (ex ENI N°29)</t>
  </si>
  <si>
    <t>0ACTBJFK40000VV</t>
  </si>
  <si>
    <t>831485-7</t>
  </si>
  <si>
    <t>793PZH7</t>
  </si>
  <si>
    <t>831421-9</t>
  </si>
  <si>
    <t>831419-4</t>
  </si>
  <si>
    <t>831320-1</t>
  </si>
  <si>
    <t>Parque Rivadavia Norte</t>
  </si>
  <si>
    <t>ZELLBJEJA00030Z</t>
  </si>
  <si>
    <t>831223-9</t>
  </si>
  <si>
    <t>Escuela Roque S. Peña</t>
  </si>
  <si>
    <t>ZELLBJEJA0002KE</t>
  </si>
  <si>
    <t>831174-4</t>
  </si>
  <si>
    <t>Escuela Sec. Barrio Valle Grande</t>
  </si>
  <si>
    <t>7944B1F</t>
  </si>
  <si>
    <t>831095-8</t>
  </si>
  <si>
    <t>ENI N.º 20 Pilpintu</t>
  </si>
  <si>
    <t>0ACTBJFHB0001YL</t>
  </si>
  <si>
    <t>831047-1</t>
  </si>
  <si>
    <t>ENI N.º 72 Antonio Giles</t>
  </si>
  <si>
    <t>0ACTBJFJ500013V</t>
  </si>
  <si>
    <t>831028-6</t>
  </si>
  <si>
    <t>Escuela Carlos Maria de Alvear</t>
  </si>
  <si>
    <t>79G2RY7</t>
  </si>
  <si>
    <t>831014-3</t>
  </si>
  <si>
    <t>EEE H. Arce de Videla de Oro</t>
  </si>
  <si>
    <t>0ACTBJFH90003CJ</t>
  </si>
  <si>
    <t>830730-7</t>
  </si>
  <si>
    <t>831647-5</t>
  </si>
  <si>
    <t>UNIDAD DE GESTION ABC</t>
  </si>
  <si>
    <t>79G3LGR</t>
  </si>
  <si>
    <t>831646-6</t>
  </si>
  <si>
    <t>79G1CDD</t>
  </si>
  <si>
    <t>831645-7</t>
  </si>
  <si>
    <t>CONECTAR LAB</t>
  </si>
  <si>
    <t>793G5FB</t>
  </si>
  <si>
    <t>831644-8</t>
  </si>
  <si>
    <t>COMISION DE INTERINATOS Y SUPLENCIAS</t>
  </si>
  <si>
    <t>79G49DP</t>
  </si>
  <si>
    <t>831643-9</t>
  </si>
  <si>
    <t>79G2T1T</t>
  </si>
  <si>
    <t>831642-0</t>
  </si>
  <si>
    <t>Gabinete Interdisciplinario Dr. Carlos Veronelli</t>
  </si>
  <si>
    <t>79G32CF</t>
  </si>
  <si>
    <t>831641-1</t>
  </si>
  <si>
    <t>JUNTA DE GABINETES</t>
  </si>
  <si>
    <t>79G15N3</t>
  </si>
  <si>
    <t>831640-2</t>
  </si>
  <si>
    <t>ZELLBJFJB0005RE</t>
  </si>
  <si>
    <t>831639-6</t>
  </si>
  <si>
    <t>79G2T2V</t>
  </si>
  <si>
    <t>831638-7</t>
  </si>
  <si>
    <t>79G15N7</t>
  </si>
  <si>
    <t>831637-8</t>
  </si>
  <si>
    <t>Escuela San Martin (oficina de Transformar la Secundaria)</t>
  </si>
  <si>
    <t>79G3HT3</t>
  </si>
  <si>
    <t>831636-9</t>
  </si>
  <si>
    <t>JUNTA PRIMARIA</t>
  </si>
  <si>
    <t>79G49BW</t>
  </si>
  <si>
    <t>831635-0</t>
  </si>
  <si>
    <t>79G3263</t>
  </si>
  <si>
    <t>831634-1</t>
  </si>
  <si>
    <t>79G1CD0</t>
  </si>
  <si>
    <t>831633-2</t>
  </si>
  <si>
    <t>79G1C6G</t>
  </si>
  <si>
    <t>831632-3</t>
  </si>
  <si>
    <t>79G19WN</t>
  </si>
  <si>
    <t>831631-4</t>
  </si>
  <si>
    <t>79G000P</t>
  </si>
  <si>
    <t>831630-5</t>
  </si>
  <si>
    <t>793PG6B</t>
  </si>
  <si>
    <t>831629-9</t>
  </si>
  <si>
    <t>JUNTA RAMA MEDIA Y SUPERIOR</t>
  </si>
  <si>
    <t>79G3LR5</t>
  </si>
  <si>
    <t>831628-0</t>
  </si>
  <si>
    <t>79G3252</t>
  </si>
  <si>
    <t>831627-1</t>
  </si>
  <si>
    <t>79G1C3Y</t>
  </si>
  <si>
    <t>831626-2</t>
  </si>
  <si>
    <t>Z30BBAJZB00030P</t>
  </si>
  <si>
    <t>831625-3</t>
  </si>
  <si>
    <t>79G3PYN</t>
  </si>
  <si>
    <t>831624-4</t>
  </si>
  <si>
    <t>79G2T08</t>
  </si>
  <si>
    <t>831623-5</t>
  </si>
  <si>
    <t>79G1G50</t>
  </si>
  <si>
    <t>831622-6</t>
  </si>
  <si>
    <t>831621-7</t>
  </si>
  <si>
    <t>UNIDAD DE GESTION SyO</t>
  </si>
  <si>
    <t>793H5MW</t>
  </si>
  <si>
    <t>831620-8</t>
  </si>
  <si>
    <t>793PZHM</t>
  </si>
  <si>
    <t>831619-2</t>
  </si>
  <si>
    <t>831618-3</t>
  </si>
  <si>
    <t>793G5C7</t>
  </si>
  <si>
    <t>831173-5</t>
  </si>
  <si>
    <t>YAGUAR</t>
  </si>
  <si>
    <t>BRBSLCD37H</t>
  </si>
  <si>
    <t>831903-8</t>
  </si>
  <si>
    <t>Escuela Segundino J. Navarro</t>
  </si>
  <si>
    <t>79G3HRZ</t>
  </si>
  <si>
    <t>831902-9</t>
  </si>
  <si>
    <t>UNIDAD DE GESTION JACHAL</t>
  </si>
  <si>
    <t>79G2RYZ</t>
  </si>
  <si>
    <t>831901-0</t>
  </si>
  <si>
    <t>EEE Dr. Otoniel Fernandez</t>
  </si>
  <si>
    <t>ZELLBJFJA0002XA</t>
  </si>
  <si>
    <t>831900-1</t>
  </si>
  <si>
    <t>831899-6</t>
  </si>
  <si>
    <t>U.G.D.A ZONA Y 25 DE MAYO</t>
  </si>
  <si>
    <t>79G3F9H</t>
  </si>
  <si>
    <t>831898-7</t>
  </si>
  <si>
    <t>79G15RK</t>
  </si>
  <si>
    <t>831897-8</t>
  </si>
  <si>
    <t>Escuela Domingo de Oro</t>
  </si>
  <si>
    <t>ZELLBJAH700008E</t>
  </si>
  <si>
    <t>831896-9</t>
  </si>
  <si>
    <t>Escuela Juana de Ibarbourou</t>
  </si>
  <si>
    <t>79G4989</t>
  </si>
  <si>
    <t>831895-0</t>
  </si>
  <si>
    <t>JINZ Nro 58 Cte. Espora</t>
  </si>
  <si>
    <t>79G2RWL</t>
  </si>
  <si>
    <t>831894-1</t>
  </si>
  <si>
    <t>ZELLBJFK40002DL</t>
  </si>
  <si>
    <t>831893-2</t>
  </si>
  <si>
    <t>Escuela Comodoro Rivadavia</t>
  </si>
  <si>
    <t>79G3Z77</t>
  </si>
  <si>
    <t>831892-3</t>
  </si>
  <si>
    <t>ENI N.º 57 Sunyay</t>
  </si>
  <si>
    <t>0ACTBJFH90001SL</t>
  </si>
  <si>
    <t>831891-4</t>
  </si>
  <si>
    <t>79G49D5</t>
  </si>
  <si>
    <t>831890-5</t>
  </si>
  <si>
    <t>Esc. Prilidiano Pueyrredon</t>
  </si>
  <si>
    <t>076UBJFJA0004ET</t>
  </si>
  <si>
    <t>831889-9</t>
  </si>
  <si>
    <t>0ACTBJFJ500044J</t>
  </si>
  <si>
    <t>831888-0</t>
  </si>
  <si>
    <t>0ACTBJFH90002KW</t>
  </si>
  <si>
    <t>831887-1</t>
  </si>
  <si>
    <t>ENI N.º 54 Santa Rosa</t>
  </si>
  <si>
    <t>0ACTBJFH90000ME</t>
  </si>
  <si>
    <t>831886-2</t>
  </si>
  <si>
    <t>793H5HW</t>
  </si>
  <si>
    <t>831885-3</t>
  </si>
  <si>
    <t>Escuela Estanislao del Campo</t>
  </si>
  <si>
    <t>79G2RYH</t>
  </si>
  <si>
    <t>831884-4</t>
  </si>
  <si>
    <t>Escuela LEONOR SANCHEZ DE ARANCIBIA</t>
  </si>
  <si>
    <t>79G3LKH</t>
  </si>
  <si>
    <t>831883-5</t>
  </si>
  <si>
    <t>Escuela Andina</t>
  </si>
  <si>
    <t>79G72C9</t>
  </si>
  <si>
    <t>831882-6</t>
  </si>
  <si>
    <t>JINZ N.º 53 Andina</t>
  </si>
  <si>
    <t>0ACTBJFJ50001FR</t>
  </si>
  <si>
    <t>831881-7</t>
  </si>
  <si>
    <t>0ACTBJFJ40003WW</t>
  </si>
  <si>
    <t>831880-8</t>
  </si>
  <si>
    <t>ENI N.º 56</t>
  </si>
  <si>
    <t>0ACTBJFH90002CD</t>
  </si>
  <si>
    <t>831879-2</t>
  </si>
  <si>
    <t>7944B1K</t>
  </si>
  <si>
    <t>831776-6</t>
  </si>
  <si>
    <t>831539-7</t>
  </si>
  <si>
    <t>831531-5</t>
  </si>
  <si>
    <t>Peñaflor</t>
  </si>
  <si>
    <t>San Martin - San Juan</t>
  </si>
  <si>
    <t>ZELLBJEK200034J</t>
  </si>
  <si>
    <t>831390-0</t>
  </si>
  <si>
    <t>831210-5</t>
  </si>
  <si>
    <t>Gral. San Martin</t>
  </si>
  <si>
    <t>0ACTBJFJ50004FF</t>
  </si>
  <si>
    <t>826317-3</t>
  </si>
  <si>
    <t>BRDSK4L24K</t>
  </si>
  <si>
    <t>831999-5</t>
  </si>
  <si>
    <t>79G3Z6C</t>
  </si>
  <si>
    <t>831968-5</t>
  </si>
  <si>
    <t>Escuela Prov. Tec. N.º 1</t>
  </si>
  <si>
    <t>076UBJFH60001EA</t>
  </si>
  <si>
    <t>831967-6</t>
  </si>
  <si>
    <t>Escuela Agrotecnica G. A. Doblas</t>
  </si>
  <si>
    <t>0ACTBJFJ40003CN</t>
  </si>
  <si>
    <t>831836-7</t>
  </si>
  <si>
    <t>Gdor. Eloy Camus</t>
  </si>
  <si>
    <t>076UBJFJA0003YM</t>
  </si>
  <si>
    <t>831808-4</t>
  </si>
  <si>
    <t>831793-3</t>
  </si>
  <si>
    <t>Escuela Suboficial Mayor Segundo Antenor Yubel</t>
  </si>
  <si>
    <t>0ACTBJFJ40003SV</t>
  </si>
  <si>
    <t>831665-1</t>
  </si>
  <si>
    <t>Escuela Salvador M. del Carril</t>
  </si>
  <si>
    <t>076UBJFH10005YK</t>
  </si>
  <si>
    <t>831481-1</t>
  </si>
  <si>
    <t>Escuela Timoteo Maradona</t>
  </si>
  <si>
    <t>ZELLBJFK9000YFX</t>
  </si>
  <si>
    <t>831277-0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</si>
</sst>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\ #,##0.00;[Red]\-&quot;$&quot;\ #,##0.00"/>
  </numFmts>
  <fonts count="9" x14ac:knownFonts="1">
    <font>
      <sz val="10"/>
      <color rgb="FF000000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color rgb="FF000000"/>
      <name val="Calibri"/>
      <family val="2"/>
    </font>
    <font>
      <sz val="11"/>
      <name val="Arial"/>
      <family val="2"/>
      <scheme val="minor"/>
    </font>
    <font>
      <sz val="10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0"/>
      <color rgb="FF333333"/>
      <name val="Arial"/>
      <family val="2"/>
      <scheme val="minor"/>
    </font>
    <font>
      <sz val="10"/>
      <color rgb="FF368CA9"/>
      <name val="Arial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6F6F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DDDDDD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6" fillId="0" borderId="0" applyNumberFormat="0" applyFill="0" applyBorder="0" applyAlignment="0" applyProtection="0"/>
  </cellStyleXfs>
  <cellXfs count="44">
    <xf numFmtId="0" fontId="0" fillId="0" borderId="0" xfId="0"/>
    <xf numFmtId="0" fontId="0" fillId="2" borderId="0" xfId="0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8" fontId="3" fillId="4" borderId="1" xfId="1" applyNumberFormat="1" applyFont="1" applyFill="1" applyBorder="1" applyAlignment="1">
      <alignment horizontal="left" vertical="center" wrapText="1"/>
    </xf>
    <xf numFmtId="8" fontId="3" fillId="5" borderId="1" xfId="1" applyNumberFormat="1" applyFont="1" applyFill="1" applyBorder="1" applyAlignment="1">
      <alignment horizontal="left" vertical="center" wrapText="1"/>
    </xf>
    <xf numFmtId="0" fontId="2" fillId="6" borderId="0" xfId="0" applyFont="1" applyFill="1"/>
    <xf numFmtId="0" fontId="2" fillId="7" borderId="0" xfId="0" applyFont="1" applyFill="1"/>
    <xf numFmtId="0" fontId="0" fillId="8" borderId="0" xfId="0" applyFill="1"/>
    <xf numFmtId="0" fontId="4" fillId="0" borderId="0" xfId="0" applyFont="1"/>
    <xf numFmtId="4" fontId="3" fillId="0" borderId="0" xfId="0" applyNumberFormat="1" applyFont="1"/>
    <xf numFmtId="0" fontId="5" fillId="0" borderId="1" xfId="2" applyFont="1" applyBorder="1"/>
    <xf numFmtId="0" fontId="5" fillId="0" borderId="1" xfId="3" applyFont="1" applyBorder="1"/>
    <xf numFmtId="0" fontId="6" fillId="0" borderId="1" xfId="4" applyFill="1" applyBorder="1"/>
    <xf numFmtId="0" fontId="1" fillId="0" borderId="1" xfId="3" applyBorder="1" applyAlignment="1">
      <alignment horizontal="left" vertical="center"/>
    </xf>
    <xf numFmtId="0" fontId="6" fillId="0" borderId="1" xfId="4" applyFill="1" applyBorder="1" applyAlignment="1">
      <alignment horizontal="left" vertical="center"/>
    </xf>
    <xf numFmtId="0" fontId="1" fillId="0" borderId="1" xfId="2" applyBorder="1" applyAlignment="1">
      <alignment horizontal="left" vertical="center"/>
    </xf>
    <xf numFmtId="0" fontId="2" fillId="9" borderId="2" xfId="0" applyFont="1" applyFill="1" applyBorder="1" applyAlignment="1">
      <alignment wrapText="1"/>
    </xf>
    <xf numFmtId="0" fontId="2" fillId="9" borderId="3" xfId="0" applyFont="1" applyFill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7" borderId="3" xfId="0" applyFont="1" applyFill="1" applyBorder="1" applyAlignment="1">
      <alignment wrapText="1"/>
    </xf>
    <xf numFmtId="8" fontId="7" fillId="10" borderId="4" xfId="0" applyNumberFormat="1" applyFont="1" applyFill="1" applyBorder="1" applyAlignment="1">
      <alignment horizontal="left" vertical="center" wrapText="1"/>
    </xf>
    <xf numFmtId="0" fontId="7" fillId="10" borderId="4" xfId="0" applyFont="1" applyFill="1" applyBorder="1" applyAlignment="1">
      <alignment horizontal="left" vertical="center" wrapText="1"/>
    </xf>
    <xf numFmtId="0" fontId="8" fillId="10" borderId="4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2" fillId="5" borderId="2" xfId="0" applyFont="1" applyFill="1" applyBorder="1" applyAlignment="1">
      <alignment wrapText="1"/>
    </xf>
    <xf numFmtId="0" fontId="2" fillId="5" borderId="3" xfId="0" applyFont="1" applyFill="1" applyBorder="1" applyAlignment="1">
      <alignment wrapText="1"/>
    </xf>
    <xf numFmtId="0" fontId="2" fillId="11" borderId="3" xfId="0" applyFont="1" applyFill="1" applyBorder="1" applyAlignment="1">
      <alignment wrapText="1"/>
    </xf>
    <xf numFmtId="0" fontId="2" fillId="8" borderId="3" xfId="0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2" fillId="12" borderId="3" xfId="0" applyFont="1" applyFill="1" applyBorder="1" applyAlignment="1">
      <alignment wrapText="1"/>
    </xf>
    <xf numFmtId="0" fontId="2" fillId="13" borderId="3" xfId="0" applyFont="1" applyFill="1" applyBorder="1" applyAlignment="1">
      <alignment wrapText="1"/>
    </xf>
    <xf numFmtId="0" fontId="2" fillId="14" borderId="3" xfId="0" applyFont="1" applyFill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7" borderId="2" xfId="0" applyFont="1" applyFill="1" applyBorder="1" applyAlignment="1">
      <alignment wrapText="1"/>
    </xf>
    <xf numFmtId="0" fontId="2" fillId="15" borderId="3" xfId="0" applyFont="1" applyFill="1" applyBorder="1" applyAlignment="1">
      <alignment wrapText="1"/>
    </xf>
    <xf numFmtId="0" fontId="2" fillId="16" borderId="3" xfId="0" applyFont="1" applyFill="1" applyBorder="1" applyAlignment="1">
      <alignment wrapText="1"/>
    </xf>
    <xf numFmtId="0" fontId="2" fillId="17" borderId="3" xfId="0" applyFont="1" applyFill="1" applyBorder="1" applyAlignment="1">
      <alignment wrapText="1"/>
    </xf>
    <xf numFmtId="0" fontId="2" fillId="18" borderId="3" xfId="0" applyFont="1" applyFill="1" applyBorder="1" applyAlignment="1">
      <alignment wrapText="1"/>
    </xf>
    <xf numFmtId="0" fontId="2" fillId="19" borderId="2" xfId="0" applyFont="1" applyFill="1" applyBorder="1" applyAlignment="1">
      <alignment wrapText="1"/>
    </xf>
    <xf numFmtId="0" fontId="2" fillId="20" borderId="3" xfId="0" applyFont="1" applyFill="1" applyBorder="1" applyAlignment="1">
      <alignment wrapText="1"/>
    </xf>
    <xf numFmtId="0" fontId="2" fillId="21" borderId="3" xfId="0" applyFont="1" applyFill="1" applyBorder="1" applyAlignment="1">
      <alignment wrapText="1"/>
    </xf>
    <xf numFmtId="0" fontId="2" fillId="22" borderId="3" xfId="0" applyFont="1" applyFill="1" applyBorder="1" applyAlignment="1">
      <alignment wrapText="1"/>
    </xf>
    <xf numFmtId="0" fontId="5" fillId="0" borderId="5" xfId="0" applyFont="1" applyBorder="1" applyAlignment="1">
      <alignment wrapText="1"/>
    </xf>
  </cellXfs>
  <cellStyles count="5">
    <cellStyle name="Hipervínculo 2" xfId="4" xr:uid="{75609EE8-B085-4030-814D-CF1F27DDBDF3}"/>
    <cellStyle name="Normal" xfId="0" builtinId="0"/>
    <cellStyle name="Normal 5 2" xfId="2" xr:uid="{4C3B97AD-055E-40E6-B665-6DBE73A6E0B8}"/>
    <cellStyle name="Normal 5 2 2" xfId="3" xr:uid="{341B847D-9C32-4BE6-9F3E-575BDDE7BC80}"/>
    <cellStyle name="Normal 6" xfId="1" xr:uid="{A170CDF5-24BF-4276-AC7B-7F49E49491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Mis%20documentos\DavidNoBorrar\Canal%20Directo%20Facturacion\2026\Mayo%202026\Liquidacion%20ABRIL%20-%20SAN%20JUAN%20MIA.xlsx" TargetMode="External"/><Relationship Id="rId1" Type="http://schemas.openxmlformats.org/officeDocument/2006/relationships/externalLinkPath" Target="file:///D:\Mis%20documentos\DavidNoBorrar\Canal%20Directo%20Facturacion\2026\Mayo%202026\Liquidacion%20ABRIL%20-%20SAN%20JUAN%20MI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Mis%20documentos\DavidNoBorrar\Canal%20Directo%20Facturacion\2025\Junio%202025\Liquidacion%20MAYO%20-%20SAN%20JUAN%20MIA%20OLD.xlsx" TargetMode="External"/><Relationship Id="rId1" Type="http://schemas.openxmlformats.org/officeDocument/2006/relationships/externalLinkPath" Target="file:///\\Servidor\d\Mis%20documentos\DavidNoBorrar\Canal%20Directo%20Facturacion\2025\Junio%202025\Liquidacion%20MAYO%20-%20SAN%20JUAN%20MIA%20OL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riano"/>
      <sheetName val="CLAUDIA"/>
      <sheetName val="Final"/>
      <sheetName val="Referencias"/>
      <sheetName val="DIOS"/>
      <sheetName val="KM-COSTOS"/>
    </sheetNames>
    <sheetDataSet>
      <sheetData sheetId="0"/>
      <sheetData sheetId="1"/>
      <sheetData sheetId="2"/>
      <sheetData sheetId="3"/>
      <sheetData sheetId="4">
        <row r="2">
          <cell r="D2" t="str">
            <v>ZELLBJFK90004JK</v>
          </cell>
          <cell r="E2" t="str">
            <v>Caucete</v>
          </cell>
          <cell r="F2" t="str">
            <v>https://maps.app.goo.gl/DkerDZrAD3FarZfA9</v>
          </cell>
          <cell r="G2" t="str">
            <v>https://www.google.com/maps/dir/Catamarca+Sur+664,+San+Juan/UGDA+Caucete,+5442,+Caucete,+San+Juan/Catamarca+Sur+664,+San+Juan/@-31.5943467,-68.4912887,19738m/data=!3m2!1e3!4b1!4m20!4m19!1m5!1m1!1s0x9681402690dd76eb:0x4b283f8fe10ce3f3!2m2!1d-68.5293761!2d-31.5426363!1m5!1m1!1s0x96810f6517119d87:0x9e04710776c19c6b!2m2!1d-68.2889276!2d-31.647192!1m5!1m1!1s0x9681402690dd76eb:0x4b283f8fe10ce3f3!2m2!1d-68.5293761!2d-31.5426363!3e0?entry=ttu&amp;g_ep=EgoyMDI1MDgxMy4wIKXMDSoASAFQAw%3D%3D</v>
          </cell>
          <cell r="H2">
            <v>58.1</v>
          </cell>
        </row>
        <row r="3">
          <cell r="D3" t="str">
            <v>79G1C3V</v>
          </cell>
          <cell r="E3" t="str">
            <v>Caucete</v>
          </cell>
          <cell r="F3" t="str">
            <v>https://maps.app.goo.gl/DkerDZrAD3FarZfA9</v>
          </cell>
          <cell r="G3" t="str">
            <v>https://www.google.com/maps/dir/Catamarca+Sur+664,+San+Juan/UGDA+Caucete,+5442,+Caucete,+San+Juan/Catamarca+Sur+664,+San+Juan/@-31.5943467,-68.4912887,19738m/data=!3m2!1e3!4b1!4m20!4m19!1m5!1m1!1s0x9681402690dd76eb:0x4b283f8fe10ce3f3!2m2!1d-68.5293761!2d-31.5426363!1m5!1m1!1s0x96810f6517119d87:0x9e04710776c19c6b!2m2!1d-68.2889276!2d-31.647192!1m5!1m1!1s0x9681402690dd76eb:0x4b283f8fe10ce3f3!2m2!1d-68.5293761!2d-31.5426363!3e0?entry=ttu&amp;g_ep=EgoyMDI1MDgxMy4wIKXMDSoASAFQAw%3D%3D</v>
          </cell>
          <cell r="H3">
            <v>58.1</v>
          </cell>
        </row>
        <row r="4">
          <cell r="D4" t="str">
            <v>7944B1K</v>
          </cell>
          <cell r="E4" t="str">
            <v>jachal</v>
          </cell>
          <cell r="F4" t="str">
            <v>https://maps.app.goo.gl/ZiXtufckh7Fpg6xM9</v>
          </cell>
          <cell r="G4" t="str">
            <v>https://www.google.com/maps/dir/Catamarca+Sur,+San+Juan/25+de+Mayo+776,+J5460+San+Jose+de+Jachal,+San+Juan/Catamarca+Sur,+San+Juan/@-30.8916505,-69.2842667,159083m/data=!3m2!1e3!4b1!4m20!4m19!1m5!1m1!1s0x968140269756b7e1:0x3c38eb6d66eb45d!2m2!1d-68.5295918!2d-31.5427459!1m5!1m1!1s0x968367bbddd53d37:0xb7f5e0b930ae1bd3!2m2!1d-68.7460355!2d-30.2370244!1m5!1m1!1s0x968140269756b7e1:0x3c38eb6d66eb45d!2m2!1d-68.5295918!2d-31.5427459!3e0?hl=es&amp;entry=ttu&amp;g_ep=EgoyMDI1MTAwOC4wIKXMDSoASAFQAw%3D%3D</v>
          </cell>
          <cell r="H4">
            <v>322</v>
          </cell>
        </row>
        <row r="5">
          <cell r="D5" t="str">
            <v>79G2RYZ</v>
          </cell>
          <cell r="E5" t="str">
            <v>jachal</v>
          </cell>
          <cell r="F5" t="str">
            <v>https://maps.app.goo.gl/ZiXtufckh7Fpg6xM9</v>
          </cell>
          <cell r="G5" t="str">
            <v>https://www.google.com/maps/dir/Catamarca+Sur,+San+Juan/25+de+Mayo+776,+J5460+San+Jose+de+Jachal,+San+Juan/Catamarca+Sur,+San+Juan/@-30.8916505,-69.2842667,159083m/data=!3m2!1e3!4b1!4m20!4m19!1m5!1m1!1s0x968140269756b7e1:0x3c38eb6d66eb45d!2m2!1d-68.5295918!2d-31.5427459!1m5!1m1!1s0x968367bbddd53d37:0xb7f5e0b930ae1bd3!2m2!1d-68.7460355!2d-30.2370244!1m5!1m1!1s0x968140269756b7e1:0x3c38eb6d66eb45d!2m2!1d-68.5295918!2d-31.5427459!3e0?hl=es&amp;entry=ttu&amp;g_ep=EgoyMDI1MTAwOC4wIKXMDSoASAFQAw%3D%3D</v>
          </cell>
          <cell r="H5">
            <v>322</v>
          </cell>
        </row>
        <row r="6">
          <cell r="D6" t="str">
            <v>79G3F9H</v>
          </cell>
          <cell r="E6" t="str">
            <v>25 de Mayo.</v>
          </cell>
          <cell r="F6" t="str">
            <v>https://maps.app.goo.gl/BtY8n73jNCZxQi9F8</v>
          </cell>
          <cell r="G6" t="str">
            <v>https://www.google.com/maps/dir/Catamarca+Sur+664,+San+Juan/Seccional+10%C2%B0+-+25+de+Mayo,+Av.+Ram%C3%B3n+Barrera,+Villa+Santa+Rosa,+San+Juan/Catamarca+Sur+664,+San+Juan/@-31.643225,-68.584591,39455m/data=!3m2!1e3!4b1!4m20!4m19!1m5!1m1!1s0x9681402690dd76eb:0x4b283f8fe10ce3f3!2m2!1d-68.5293623!2d-31.542635!1m5!1m1!1s0x968105216088c95b:0xfbd03cc5af2e3b62!2m2!1d-68.3145049!2d-31.7454525!1m5!1m1!1s0x9681402690dd76eb:0x4b283f8fe10ce3f3!2m2!1d-68.5293623!2d-31.542635!3e0?entry=ttu&amp;g_ep=EgoyMDI1MDkwMi4wIKXMDSoASAFQAw%3D%3D</v>
          </cell>
          <cell r="H6">
            <v>73.400000000000006</v>
          </cell>
        </row>
        <row r="7">
          <cell r="D7" t="str">
            <v>79G15RK</v>
          </cell>
          <cell r="E7" t="str">
            <v>25 de Mayo.</v>
          </cell>
          <cell r="F7" t="str">
            <v>https://maps.app.goo.gl/BtY8n73jNCZxQi9F8</v>
          </cell>
          <cell r="G7" t="str">
            <v>https://www.google.com/maps/dir/Catamarca+Sur+664,+San+Juan/Seccional+10%C2%B0+-+25+de+Mayo,+Av.+Ram%C3%B3n+Barrera,+Villa+Santa+Rosa,+San+Juan/Catamarca+Sur+664,+San+Juan/@-31.643225,-68.584591,39455m/data=!3m2!1e3!4b1!4m20!4m19!1m5!1m1!1s0x9681402690dd76eb:0x4b283f8fe10ce3f3!2m2!1d-68.5293623!2d-31.542635!1m5!1m1!1s0x968105216088c95b:0xfbd03cc5af2e3b62!2m2!1d-68.3145049!2d-31.7454525!1m5!1m1!1s0x9681402690dd76eb:0x4b283f8fe10ce3f3!2m2!1d-68.5293623!2d-31.542635!3e0?entry=ttu&amp;g_ep=EgoyMDI1MDkwMi4wIKXMDSoASAFQAw%3D%3D</v>
          </cell>
          <cell r="H7">
            <v>73.400000000000006</v>
          </cell>
        </row>
        <row r="8">
          <cell r="D8" t="str">
            <v>79G1C33</v>
          </cell>
          <cell r="E8" t="str">
            <v>Iglesia</v>
          </cell>
          <cell r="F8" t="str">
            <v>https://maps.app.goo.gl/jGdQXiryg9aUz5Zs6</v>
          </cell>
          <cell r="G8" t="str">
            <v>google.com/maps/dir/Catamarca+Sur,+San+Juan/Laprida,+Rodeo,+San+Juan/Catamarca+Sur,+San+Juan/@-30.875538,-69.7445091,210498m/data=!3m1!1e3!4m20!4m19!1m5!1m1!1s0x968140269756b7e1:0x3c38eb6d66eb45d!2m2!1d-68.5295918!2d-31.5427459!1m5!1m1!1s0x9684bcf6137b4fa5:0xb9f29735094443d8!2m2!1d-69.1434313!2d-30.2151474!1m5!1m1!1s0x968140269756b7e1:0x3c38eb6d66eb45d!2m2!1d-68.5295918!2d-31.5427459!3e0?hl=es&amp;entry=ttu&amp;g_ep=EgoyMDI1MTAwOC4wIKXMDSoASAFQAw%3D%3D</v>
          </cell>
          <cell r="H8">
            <v>396</v>
          </cell>
        </row>
        <row r="9">
          <cell r="D9" t="str">
            <v>793H9MB</v>
          </cell>
          <cell r="E9" t="str">
            <v>Iglesia</v>
          </cell>
          <cell r="F9" t="str">
            <v>https://maps.app.goo.gl/jGdQXiryg9aUz5Zs6</v>
          </cell>
          <cell r="G9" t="str">
            <v>google.com/maps/dir/Catamarca+Sur,+San+Juan/Laprida,+Rodeo,+San+Juan/Catamarca+Sur,+San+Juan/@-30.875538,-69.7445091,210498m/data=!3m1!1e3!4m20!4m19!1m5!1m1!1s0x968140269756b7e1:0x3c38eb6d66eb45d!2m2!1d-68.5295918!2d-31.5427459!1m5!1m1!1s0x9684bcf6137b4fa5:0xb9f29735094443d8!2m2!1d-69.1434313!2d-30.2151474!1m5!1m1!1s0x968140269756b7e1:0x3c38eb6d66eb45d!2m2!1d-68.5295918!2d-31.5427459!3e0?hl=es&amp;entry=ttu&amp;g_ep=EgoyMDI1MTAwOC4wIKXMDSoASAFQAw%3D%3D</v>
          </cell>
          <cell r="H9">
            <v>396</v>
          </cell>
        </row>
        <row r="10">
          <cell r="D10" t="str">
            <v>ZELLBJFK9000HJV</v>
          </cell>
          <cell r="E10" t="str">
            <v>Rawson</v>
          </cell>
          <cell r="F10" t="str">
            <v>https://maps.app.goo.gl/AJrcS2P3zXWhwH9g8</v>
          </cell>
          <cell r="G10" t="str">
            <v>https://www.google.com/maps/dir/Catamarca+Sur,+San+Juan/Escuela+Hogar+%22Jos%C3%A9+Manuel+Estrada%22,+J5425+Villa+Krause,+San+Juan/Catamarca+Sur,+San+Juan/@-31.5562638,-68.5472811,4937m/data=!3m2!1e3!4b1!4m20!4m19!1m5!1m1!1s0x968140269756b7e1:0x3c38eb6d66eb45d!2m2!1d-68.5295918!2d-31.5427459!1m5!1m1!1s0x96814000b15bf8d9:0xcb9eae0fd9e699d2!2m2!1d-68.530994!2d-31.5702997!1m5!1m1!1s0x968140269756b7e1:0x3c38eb6d66eb45d!2m2!1d-68.5295918!2d-31.5427459!3e0?hl=es&amp;entry=ttu&amp;g_ep=EgoyMDI1MTAwOC4wIKXMDSoASAFQAw%3D%3D</v>
          </cell>
          <cell r="H10">
            <v>8.8000000000000007</v>
          </cell>
        </row>
        <row r="11">
          <cell r="D11" t="str">
            <v>79G4987</v>
          </cell>
          <cell r="E11" t="str">
            <v>Rawson</v>
          </cell>
          <cell r="F11" t="str">
            <v>https://maps.app.goo.gl/AJrcS2P3zXWhwH9g8</v>
          </cell>
          <cell r="G11" t="str">
            <v>https://www.google.com/maps/dir/Catamarca+Sur,+San+Juan/Escuela+Hogar+%22Jos%C3%A9+Manuel+Estrada%22,+J5425+Villa+Krause,+San+Juan/Catamarca+Sur,+San+Juan/@-31.5562638,-68.5472811,4937m/data=!3m2!1e3!4b1!4m20!4m19!1m5!1m1!1s0x968140269756b7e1:0x3c38eb6d66eb45d!2m2!1d-68.5295918!2d-31.5427459!1m5!1m1!1s0x96814000b15bf8d9:0xcb9eae0fd9e699d2!2m2!1d-68.530994!2d-31.5702997!1m5!1m1!1s0x968140269756b7e1:0x3c38eb6d66eb45d!2m2!1d-68.5295918!2d-31.5427459!3e0?hl=es&amp;entry=ttu&amp;g_ep=EgoyMDI1MTAwOC4wIKXMDSoASAFQAw%3D%3D</v>
          </cell>
          <cell r="H11">
            <v>8.8000000000000007</v>
          </cell>
        </row>
        <row r="12">
          <cell r="D12" t="str">
            <v>BRBSSC60PZ</v>
          </cell>
          <cell r="F12" t="str">
            <v>https://maps.app.goo.gl/GxWr2HKEhWz5dzef6</v>
          </cell>
          <cell r="G12" t="str">
            <v>https://www.google.com/maps/dir/Catamarca+Sur+664,+San+Juan/Planta+Solar+Fotovoltaica+Ullum+I+(GENNEIA+-+EPSE),+Ull%C3%BAm,+San+Juan/Catamarca+Sur+664,+San+Juan/@-31.4418747,-68.7663507,39541m/data=!3m2!1e3!4b1!4m20!4m19!1m5!1m1!1s0x9681402690dd76eb:0x4b283f8fe10ce3f3!2m2!1d-68.5293623!2d-31.542635!1m5!1m1!1s0x96815bb1d2af7851:0x935a1fe37ef84516!2m2!1d-68.6706275!2d-31.3420196!1m5!1m1!1s0x9681402690dd76eb:0x4b283f8fe10ce3f3!2m2!1d-68.5293623!2d-31.542635!3e0?entry=ttu&amp;g_ep=EgoyMDI1MDkwMy4wIKXMDSoASAFQAw%3D%3D</v>
          </cell>
          <cell r="H12">
            <v>70.8</v>
          </cell>
        </row>
        <row r="13">
          <cell r="D13" t="str">
            <v>BRBSSC60MY</v>
          </cell>
          <cell r="F13" t="str">
            <v>https://maps.app.goo.gl/MUJ7jU8Djtng9eti7</v>
          </cell>
          <cell r="G13"/>
          <cell r="H13">
            <v>417.20000000000005</v>
          </cell>
        </row>
        <row r="14">
          <cell r="D14" t="str">
            <v>79562R1</v>
          </cell>
          <cell r="F14"/>
          <cell r="G14"/>
          <cell r="H14">
            <v>37.9</v>
          </cell>
        </row>
        <row r="15">
          <cell r="D15" t="str">
            <v>794RFW3</v>
          </cell>
          <cell r="F15"/>
          <cell r="G15"/>
          <cell r="H15">
            <v>37.9</v>
          </cell>
        </row>
        <row r="16">
          <cell r="D16" t="str">
            <v>ZELLBJFJB0006QB</v>
          </cell>
          <cell r="E16" t="str">
            <v>Capital</v>
          </cell>
          <cell r="F16" t="str">
            <v>https://maps.app.goo.gl/BfS4x7emW2RjZTg3A</v>
          </cell>
          <cell r="G16" t="str">
            <v>https://www.google.com/maps/dir/Catamarca+Sur+664,+San+Juan/ISFD+Escuela+Normal+Superior+Sarmiento,+Santiago+del+Estero+Sur,+J5402+San+Juan/@-31.5419934,-68.5329552,617m/data=!3m2!1e3!4b1!4m14!4m13!1m5!1m1!1s0x9681402690dd76eb:0x4b283f8fe10ce3f3!2m2!1d-68.5293761!2d-31.5426363!1m5!1m1!1s0x968141c7616d4cef:0xe0421ce0356c4fb0!2m2!1d-68.5323328!2d-31.5434325!3e0?entry=ttu&amp;g_ep=EgoyMDI1MDYxNy4wIKXMDSoASAFQAw%3D%3D</v>
          </cell>
          <cell r="H16">
            <v>0.8</v>
          </cell>
        </row>
        <row r="17">
          <cell r="D17" t="str">
            <v>79G49D4</v>
          </cell>
          <cell r="E17" t="str">
            <v>VALLE FÉRTIL</v>
          </cell>
          <cell r="F17" t="str">
            <v>https://maps.app.goo.gl/z8Nhqo9chJKkRgjQ8</v>
          </cell>
          <cell r="G17" t="str">
            <v>https://www.google.com/maps/dir/Catamarca+Sur+664,+San+Juan/Escuela+N%C2%BA+722+%22Provincia+de+Formosa%22,+Mitre+1589,+J5449+Villa+San+Agust%C3%ADn,+San+Juan/Catamarca+Sur+664,+San+Juan/@-31.1947013,-68.5298626,158578m/data=!3m1!1e3!4m20!4m19!1m5!1m1!1s0x9681402690dd76eb:0x4b283f8fe10ce3f3!2m2!1d-68.5293761!2d-31.5426363!1m5!1m1!1s0x968275d69c4f062d:0xa147e5684e39f56d!2m2!1d-67.4670864!2d-30.6355!1m5!1m1!1s0x9681402690dd76eb:0x4b283f8fe10ce3f3!2m2!1d-68.5293761!2d-31.5426363!3e0?entry=ttu&amp;g_ep=EgoyMDI1MDgxMy4wIKXMDSoASAFQAw%3D%3D</v>
          </cell>
          <cell r="H17">
            <v>499</v>
          </cell>
        </row>
        <row r="18">
          <cell r="D18" t="str">
            <v>79G3LFX</v>
          </cell>
          <cell r="E18" t="str">
            <v>VALLE FÉRTIL</v>
          </cell>
          <cell r="F18" t="str">
            <v>https://maps.app.goo.gl/DPPqPM2q4jutiWh89</v>
          </cell>
          <cell r="G18" t="str">
            <v>https://www.google.com/maps/dir/Catamarca+Sur+664,+San+Juan/Escuela+Agrotecnica+Ej%C3%A9rcito+Argentino,+J5449+Villa+San+Agust%C3%ADn,+San+Juan/Catamarca+Sur+664,+San+Juan/@-31.19083,-68.5298807,158584m/data=!3m1!1e3!4m20!4m19!1m5!1m1!1s0x9681402690dd76eb:0x4b283f8fe10ce3f3!2m2!1d-68.5293761!2d-31.5426363!1m5!1m1!1s0x9682747026776887:0xcbdea15b60ce0a39!2m2!1d-67.4640364!2d-30.6276738!1m5!1m1!1s0x9681402690dd76eb:0x4b283f8fe10ce3f3!2m2!1d-68.5293761!2d-31.5426363!3e0?entry=ttu&amp;g_ep=EgoyMDI1MDgxMy4wIKXMDSoASAFQAw%3D%3D</v>
          </cell>
          <cell r="H18">
            <v>500</v>
          </cell>
        </row>
        <row r="19">
          <cell r="D19" t="str">
            <v>79G4NYG</v>
          </cell>
          <cell r="E19" t="str">
            <v>Capital</v>
          </cell>
          <cell r="F19" t="str">
            <v>https://maps.app.goo.gl/8mywauRH5H1dbor87</v>
          </cell>
          <cell r="G19" t="str">
            <v>https://www.google.com/maps/dir/Catamarca+Sur+664,+San+Juan/Escuela+Normal+Superior+%22Sarmiento%22,+J5402DYA,+Av.+Leandro+N.+Alem+Sur+11-99,+J5402DYA+San+Juan/@-31.538548,-68.5358873,1234m/data=!3m2!1e3!4b1!4m14!4m13!1m5!1m1!1s0x9681402690dd76eb:0x4b283f8fe10ce3f3!2m2!1d-68.5293761!2d-31.5426363!1m5!1m1!1s0x9681402ec07364ef:0x6f9dfb50506f4e5d!2m2!1d-68.5320464!2d-31.5352218!3e0?entry=ttu&amp;g_ep=EgoyMDI1MDYxNy4wIKXMDSoASAFQAw%3D%3D</v>
          </cell>
          <cell r="H19">
            <v>3</v>
          </cell>
        </row>
        <row r="20">
          <cell r="D20" t="str">
            <v>79G2RVL</v>
          </cell>
          <cell r="E20" t="str">
            <v>Capital</v>
          </cell>
          <cell r="F20" t="str">
            <v>https://maps.app.goo.gl/gH3WYV3mugfMfD7t7</v>
          </cell>
          <cell r="G20" t="str">
            <v>https://www.google.com/maps/dir/Catamarca+Sur+664,+San+Juan/E.P.E.T.+N%C2%B0+1+Ingeniero+Rogelio+Boero,+Manuel+Belgrano+Este+250,+J5400+San+Juan/@-31.5429554,-68.5284677,617m/data=!3m2!1e3!4b1!4m14!4m13!1m5!1m1!1s0x9681402690dd76eb:0x4b283f8fe10ce3f3!2m2!1d-68.5293761!2d-31.5426363!1m5!1m1!1s0x96816a9ef71351d9:0x55286080dde28bf!2m2!1d-68.5220704!2d-31.5445858!3e0?entry=ttu&amp;g_ep=EgoyMDI1MDYxNy4wIKXMDSoASAFQAw%3D%3D</v>
          </cell>
          <cell r="H20">
            <v>2</v>
          </cell>
        </row>
        <row r="21">
          <cell r="D21" t="str">
            <v>79G1CGM</v>
          </cell>
          <cell r="E21" t="str">
            <v>Capital</v>
          </cell>
          <cell r="F21" t="str">
            <v>https://maps.app.goo.gl/vR8mhWVg4XDv1fxG7</v>
          </cell>
          <cell r="G21" t="str">
            <v>https://www.google.com/maps/dir/Catamarca+Sur+664,+San+Juan/Escuela+Manuel+Belgrano,+Salvador+Mar%C3%ADa+del+Carril+Norte,+Av.+Circunvalaci%C3%B3n+%26,+San+Juan/@-31.53125,-68.5533285,4938m/data=!3m2!1e3!4b1!4m14!4m13!1m5!1m1!1s0x9681402690dd76eb:0x4b283f8fe10ce3f3!2m2!1d-68.5293761!2d-31.5426363!1m5!1m1!1s0x96814179a2ca919f:0xd824f501e0f6f76e!2m2!1d-68.5339368!2d-31.5199408!3e0?entry=ttu&amp;g_ep=EgoyMDI1MDYxNy4wIKXMDSoASAFQAw%3D%3D</v>
          </cell>
          <cell r="H21">
            <v>6</v>
          </cell>
        </row>
        <row r="22">
          <cell r="D22" t="str">
            <v>79G49B0</v>
          </cell>
          <cell r="E22" t="str">
            <v>Chimbas</v>
          </cell>
          <cell r="F22" t="str">
            <v>https://maps.app.goo.gl/desNsT1o6eemDfvh6</v>
          </cell>
          <cell r="G22" t="str">
            <v>https://www.google.com/maps/dir/Catamarca+Sur+664,+San+Juan/Bachillerato+Jose+Manuel+Estrada,+San+Juan+Norte,+J5413+Chimbas,+San+Juan/Catamarca+Sur+664,+San+Juan/@-31.5302456,-68.6014109,9876m/data=!3m2!1e3!4b1!4m20!4m19!1m5!1m1!1s0x9681402690dd76eb:0x4b283f8fe10ce3f3!2m2!1d-68.5293761!2d-31.5426363!1m5!1m1!1s0x968141660f7c88b5:0xbbd752c0fd7e2acf!2m2!1d-68.5909795!2d-31.5051984!1m5!1m1!1s0x9681402690dd76eb:0x4b283f8fe10ce3f3!2m2!1d-68.5293761!2d-31.5426363!3e0?entry=ttu&amp;g_ep=EgoyMDI1MDgxMy4wIKXMDSoASAFQAw%3D%3D</v>
          </cell>
          <cell r="H22">
            <v>21.3</v>
          </cell>
        </row>
        <row r="23">
          <cell r="D23" t="str">
            <v>79G4MLN</v>
          </cell>
          <cell r="E23" t="str">
            <v>Jachal</v>
          </cell>
          <cell r="F23" t="str">
            <v>https://maps.app.goo.gl/f8pNQJkCxrC63eRf8</v>
          </cell>
          <cell r="G23" t="str">
            <v>https://www.google.com/maps/dir/Catamarca+Sur+664,+San+Juan/Escuela+Agroindustrial+Mons.+Dr.juan+Antonio+Videla+Cuello,+Villa+San+Isidro,+San+Juan/Catamarca+Sur+664,+San+Juan/@-30.8398817,-69.9413958,318339m/data=!3m2!1e3!4b1!4m20!4m19!1m5!1m1!1s0x9681402690dd76eb:0x4b283f8fe10ce3f3!2m2!1d-68.5293761!2d-31.5426363!1m5!1m1!1s0x96834340c1233727:0x629838a159d60afa!2m2!1d-68.7058977!2d-30.143312!1m5!1m1!1s0x9681402690dd76eb:0x4b283f8fe10ce3f3!2m2!1d-68.5293761!2d-31.5426363!3e0?entry=ttu&amp;g_ep=EgoyMDI1MDgxMy4wIKXMDSoASAFQAw%3D%3D</v>
          </cell>
          <cell r="H23">
            <v>343</v>
          </cell>
        </row>
        <row r="24">
          <cell r="D24" t="str">
            <v>79G3LDC</v>
          </cell>
          <cell r="E24" t="str">
            <v>Jachal</v>
          </cell>
          <cell r="F24" t="str">
            <v>https://maps.app.goo.gl/gzC65ZcT1zHx14W48</v>
          </cell>
          <cell r="G24" t="str">
            <v>https://www.google.com/maps/dir/Catamarca+Sur+664,+San+Juan/Escuela+Normal+Superior+Fray+Justo+Santa+Mar%C3%ADa+De+Oro,+J5460+San+Jose+de+Jachal,+San+Juan/Catamarca+Sur+664,+San+Juan/@-30.887069,-69.2904007,159091m/data=!3m1!1e3!4m20!4m19!1m5!1m1!1s0x9681402690dd76eb:0x4b283f8fe10ce3f3!2m2!1d-68.5293761!2d-31.5426363!1m5!1m1!1s0x968367b014e7d7e1:0xb85d7057c6dbd035!2m2!1d-68.7498693!2d-30.2429646!1m5!1m1!1s0x9681402690dd76eb:0x4b283f8fe10ce3f3!2m2!1d-68.5293761!2d-31.5426363!3e0?entry=ttu&amp;g_ep=EgoyMDI1MDgxMy4wIKXMDSoASAFQAw%3D%3D</v>
          </cell>
          <cell r="H24">
            <v>323</v>
          </cell>
        </row>
        <row r="25">
          <cell r="D25" t="str">
            <v>79G4MKW</v>
          </cell>
          <cell r="E25" t="str">
            <v>Capital</v>
          </cell>
          <cell r="F25" t="str">
            <v>https://maps.app.goo.gl/8mywauRH5H1dbor87</v>
          </cell>
          <cell r="G25" t="str">
            <v>https://www.google.com/maps/dir/Catamarca+Sur+664,+San+Juan/Escuela+Normal+Superior+%22Sarmiento%22,+J5402DYA,+Av.+Leandro+N.+Alem+Sur+11-99,+J5402DYA+San+Juan/@-31.538548,-68.5358873,1234m/data=!3m2!1e3!4b1!4m14!4m13!1m5!1m1!1s0x9681402690dd76eb:0x4b283f8fe10ce3f3!2m2!1d-68.5293761!2d-31.5426363!1m5!1m1!1s0x9681402ec07364ef:0x6f9dfb50506f4e5d!2m2!1d-68.5320464!2d-31.5352218!3e0?entry=ttu&amp;g_ep=EgoyMDI1MDYxNy4wIKXMDSoASAFQAw%3D%3D</v>
          </cell>
          <cell r="H25">
            <v>3</v>
          </cell>
        </row>
        <row r="26">
          <cell r="D26" t="str">
            <v>79G3BNX</v>
          </cell>
          <cell r="E26" t="str">
            <v>Capital</v>
          </cell>
          <cell r="F26" t="str">
            <v>https://maps.app.goo.gl/G6oTZMrEgcDp96XK9</v>
          </cell>
          <cell r="G26" t="str">
            <v>https://www.google.com/maps/dir/Catamarca+Sur+664,+San+Juan/Jard%C3%ADn+de+Infantes+Bienvenida+Sarmiento,+Francisco+N.+Laprida+Oeste+440,+J5402+San+Juan/@-31.5392092,-68.5373881,1234m/data=!3m2!1e3!4b1!4m14!4m13!1m5!1m1!1s0x9681402690dd76eb:0x4b283f8fe10ce3f3!2m2!1d-68.5293761!2d-31.5426363!1m5!1m1!1s0x9681414b6bbc969f:0xee2a607289025915!2m2!1d-68.5324694!2d-31.53578!3e0?entry=ttu&amp;g_ep=EgoyMDI1MDYxNy4wIKXMDSoASAFQAw%3D%3D</v>
          </cell>
          <cell r="H26">
            <v>3</v>
          </cell>
        </row>
        <row r="27">
          <cell r="D27" t="str">
            <v>79G2RY5</v>
          </cell>
          <cell r="E27" t="str">
            <v>Capital</v>
          </cell>
          <cell r="F27" t="str">
            <v>https://maps.app.goo.gl/R9rrR4FZ2zr2w5PQ6</v>
          </cell>
          <cell r="G27" t="str">
            <v>https://www.google.com/maps/dir/Catamarca+Sur+664,+San+Juan/Escuela+Antonio+Torres+Turno+Tarde,+J5402EGJ,+Gral+Mariano+Acha+Sur+402-500,+J5402EGJ+San+Juan/@-31.5410004,-68.5293741,617m/data=!3m2!1e3!4b1!4m14!4m13!1m5!1m1!1s0x9681402690dd76eb:0x4b283f8fe10ce3f3!2m2!1d-68.5293761!2d-31.5426363!1m5!1m1!1s0x96816a9d6fa6790b:0x410dcfe1ca3c531!2m2!1d-68.5240044!2d-31.539353!3e0?entry=ttu&amp;g_ep=EgoyMDI1MDYxNy4wIKXMDSoASAFQAw%3D%3D</v>
          </cell>
          <cell r="H27">
            <v>2</v>
          </cell>
        </row>
        <row r="28">
          <cell r="D28" t="str">
            <v>793H5HR</v>
          </cell>
          <cell r="E28" t="str">
            <v>Capital</v>
          </cell>
          <cell r="F28" t="str">
            <v>https://maps.app.goo.gl/4GgkkBxu9KvSjX7f9</v>
          </cell>
          <cell r="G28" t="str">
            <v>https://www.google.com/maps/dir/Catamarca+Sur+664,+San+Juan/Centro+Polivalente+de+Arte,+Gral+Mariano+Acha+Sur+1896,+J5402+San+Juan/@-31.5504492,-68.5360821,2468m/data=!3m2!1e3!4b1!4m14!4m13!1m5!1m1!1s0x9681402690dd76eb:0x4b283f8fe10ce3f3!2m2!1d-68.5293761!2d-31.5426363!1m5!1m1!1s0x96816aa7d2644013:0x3190daeafeaa218c!2m2!1d-68.521864!2d-31.5585661!3e0?entry=ttu&amp;g_ep=EgoyMDI1MDYxNy4wIKXMDSoASAFQAw%3D%3D</v>
          </cell>
          <cell r="H28">
            <v>6</v>
          </cell>
        </row>
        <row r="29">
          <cell r="D29" t="str">
            <v>79G5RN7</v>
          </cell>
          <cell r="E29" t="str">
            <v>Capital</v>
          </cell>
          <cell r="F29" t="str">
            <v>https://maps.app.goo.gl/4GgkkBxu9KvSjX7f9</v>
          </cell>
          <cell r="G29" t="str">
            <v>https://www.google.com/maps/dir/Catamarca+Sur+664,+San+Juan/Centro+Polivalente+de+Arte,+Gral+Mariano+Acha+Sur+1896,+J5402+San+Juan/@-31.5504492,-68.5360821,2468m/data=!3m2!1e3!4b1!4m14!4m13!1m5!1m1!1s0x9681402690dd76eb:0x4b283f8fe10ce3f3!2m2!1d-68.5293761!2d-31.5426363!1m5!1m1!1s0x96816aa7d2644013:0x3190daeafeaa218c!2m2!1d-68.521864!2d-31.5585661!3e0?entry=ttu&amp;g_ep=EgoyMDI1MDYxNy4wIKXMDSoASAFQAw%3D%3D</v>
          </cell>
          <cell r="H29">
            <v>6</v>
          </cell>
        </row>
        <row r="30">
          <cell r="D30" t="str">
            <v>79G2T48</v>
          </cell>
          <cell r="E30" t="str">
            <v>Capital</v>
          </cell>
          <cell r="F30" t="str">
            <v>https://maps.app.goo.gl/4GgkkBxu9KvSjX7f9</v>
          </cell>
          <cell r="G30" t="str">
            <v>https://www.google.com/maps/dir/Catamarca+Sur+664,+San+Juan/Centro+Polivalente+de+Arte,+Gral+Mariano+Acha+Sur+1896,+J5402+San+Juan/@-31.5504492,-68.5360821,2468m/data=!3m2!1e3!4b1!4m14!4m13!1m5!1m1!1s0x9681402690dd76eb:0x4b283f8fe10ce3f3!2m2!1d-68.5293761!2d-31.5426363!1m5!1m1!1s0x96816aa7d2644013:0x3190daeafeaa218c!2m2!1d-68.521864!2d-31.5585661!3e0?entry=ttu&amp;g_ep=EgoyMDI1MDYxNy4wIKXMDSoASAFQAw%3D%3D</v>
          </cell>
          <cell r="H30">
            <v>6</v>
          </cell>
        </row>
        <row r="31">
          <cell r="D31" t="str">
            <v>79G6094</v>
          </cell>
          <cell r="E31" t="str">
            <v>Capital</v>
          </cell>
          <cell r="F31" t="str">
            <v>https://maps.app.goo.gl/M3TN585Xx3Zo16eg9</v>
          </cell>
          <cell r="G31" t="str">
            <v>https://www.google.com/maps/dir/Catamarca+Sur+664,+San+Juan/Escuela+Liceo+Paula+Albarrac%C3%ADn+de+Sarmiento,+Sta+Fe+Este+252,+J5402+AAF,+San+Juan/@-31.5406219,-68.5305446,1234m/data=!3m2!1e3!4b1!4m14!4m13!1m5!1m1!1s0x9681402690dd76eb:0x4b283f8fe10ce3f3!2m2!1d-68.5293761!2d-31.5426363!1m5!1m1!1s0x96816a9cd9ab55fb:0x554f5eba670a7631!2m2!1d-68.5218799!2d-31.5387555!3e0?entry=ttu&amp;g_ep=EgoyMDI1MDYxNy4wIKXMDSoASAFQAw%3D%3D</v>
          </cell>
          <cell r="H31">
            <v>2</v>
          </cell>
        </row>
        <row r="32">
          <cell r="D32" t="str">
            <v>79G4V0R</v>
          </cell>
          <cell r="E32" t="str">
            <v>Capital</v>
          </cell>
          <cell r="F32" t="str">
            <v>https://maps.app.goo.gl/M3TN585Xx3Zo16eg9</v>
          </cell>
          <cell r="G32" t="str">
            <v>https://www.google.com/maps/dir/Catamarca+Sur+664,+San+Juan/Escuela+Liceo+Paula+Albarrac%C3%ADn+de+Sarmiento,+Sta+Fe+Este+252,+J5402+AAF,+San+Juan/@-31.5406219,-68.5305446,1234m/data=!3m2!1e3!4b1!4m14!4m13!1m5!1m1!1s0x9681402690dd76eb:0x4b283f8fe10ce3f3!2m2!1d-68.5293761!2d-31.5426363!1m5!1m1!1s0x96816a9cd9ab55fb:0x554f5eba670a7631!2m2!1d-68.5218799!2d-31.5387555!3e0?entry=ttu&amp;g_ep=EgoyMDI1MDYxNy4wIKXMDSoASAFQAw%3D%3D</v>
          </cell>
          <cell r="H32">
            <v>2</v>
          </cell>
        </row>
        <row r="33">
          <cell r="D33" t="str">
            <v>79G5VDY</v>
          </cell>
          <cell r="E33" t="str">
            <v>Capital</v>
          </cell>
          <cell r="F33" t="str">
            <v>https://maps.app.goo.gl/M3TN585Xx3Zo16eg9</v>
          </cell>
          <cell r="G33" t="str">
            <v>https://www.google.com/maps/dir/Catamarca+Sur+664,+San+Juan/Escuela+Liceo+Paula+Albarrac%C3%ADn+de+Sarmiento,+Sta+Fe+Este+252,+J5402+AAF,+San+Juan/@-31.5406219,-68.5305446,1234m/data=!3m2!1e3!4b1!4m14!4m13!1m5!1m1!1s0x9681402690dd76eb:0x4b283f8fe10ce3f3!2m2!1d-68.5293761!2d-31.5426363!1m5!1m1!1s0x96816a9cd9ab55fb:0x554f5eba670a7631!2m2!1d-68.5218799!2d-31.5387555!3e0?entry=ttu&amp;g_ep=EgoyMDI1MDYxNy4wIKXMDSoASAFQAw%3D%3D</v>
          </cell>
          <cell r="H33">
            <v>2</v>
          </cell>
        </row>
        <row r="34">
          <cell r="D34" t="str">
            <v>79G729F</v>
          </cell>
          <cell r="E34" t="str">
            <v>Capital</v>
          </cell>
          <cell r="F34" t="str">
            <v>https://maps.app.goo.gl/Ntg2tjMhFbFeFDGm7</v>
          </cell>
          <cell r="G34" t="str">
            <v>https://www.google.com/maps/dir/Catamarca+Sur+664,+San+Juan/Escuela+secundaria+Gral.+Ing.+Enrique+Mosconi,+J5400+Rivadavia,+San+Juan/Catamarca+Sur+664,+San+Juan/@-31.5389945,-68.6061874,9875m/data=!3m2!1e3!4b1!4m20!4m19!1m5!1m1!1s0x9681402690dd76eb:0x4b283f8fe10ce3f3!2m2!1d-68.5293761!2d-31.5426363!1m5!1m1!1s0x9681412160348a73:0x3b74554d660f6c66!2m2!1d-68.6005704!2d-31.5349318!1m5!1m1!1s0x9681402690dd76eb:0x4b283f8fe10ce3f3!2m2!1d-68.5293761!2d-31.5426363!3e0?entry=ttu&amp;g_ep=EgoyMDI1MDgxMy4wIKXMDSoASAFQAw%3D%3D</v>
          </cell>
          <cell r="H34">
            <v>15.6</v>
          </cell>
        </row>
        <row r="35">
          <cell r="D35" t="str">
            <v>79G6TLY</v>
          </cell>
          <cell r="E35" t="str">
            <v>Chimbas</v>
          </cell>
          <cell r="F35" t="str">
            <v>https://maps.app.goo.gl/JqvofuPM6iphUpJw6</v>
          </cell>
          <cell r="G35" t="str">
            <v>https://www.google.com/maps/dir/Catamarca+Sur+664,+San+Juan/Escuela+Polic%C3%ADa+Federal+Argentina,+J5413+Chimbas,+San+Juan/@-31.5224962,-68.5499036,4938m/data=!3m2!1e3!4b1!4m14!4m13!1m5!1m1!1s0x9681402690dd76eb:0x4b283f8fe10ce3f3!2m2!1d-68.5293761!2d-31.5426363!1m5!1m1!1s0x96816a0a8f2193c9:0xe95b3be855f8b45c!2m2!1d-68.5238155!2d-31.502734!3e0?entry=ttu&amp;g_ep=EgoyMDI1MDYxNy4wIKXMDSoASAFQAw%3D%3D</v>
          </cell>
          <cell r="H35">
            <v>12</v>
          </cell>
        </row>
        <row r="36">
          <cell r="D36" t="str">
            <v>79G1BWZ</v>
          </cell>
          <cell r="E36" t="str">
            <v>Chimbas</v>
          </cell>
          <cell r="F36" t="str">
            <v>https://maps.app.goo.gl/JqvofuPM6iphUpJw6</v>
          </cell>
          <cell r="G36" t="str">
            <v>https://www.google.com/maps/dir/Catamarca+Sur+664,+San+Juan/Escuela+Polic%C3%ADa+Federal+Argentina,+J5413+Chimbas,+San+Juan/@-31.5224962,-68.5499036,4938m/data=!3m2!1e3!4b1!4m14!4m13!1m5!1m1!1s0x9681402690dd76eb:0x4b283f8fe10ce3f3!2m2!1d-68.5293761!2d-31.5426363!1m5!1m1!1s0x96816a0a8f2193c9:0xe95b3be855f8b45c!2m2!1d-68.5238155!2d-31.502734!3e0?entry=ttu&amp;g_ep=EgoyMDI1MDYxNy4wIKXMDSoASAFQAw%3D%3D</v>
          </cell>
          <cell r="H36">
            <v>12</v>
          </cell>
        </row>
        <row r="37">
          <cell r="D37" t="str">
            <v>79G3Z6G</v>
          </cell>
          <cell r="E37" t="str">
            <v>Rawson</v>
          </cell>
          <cell r="F37" t="str">
            <v>https://maps.app.goo.gl/MJL7CEo1HsixwAcH9</v>
          </cell>
          <cell r="G37" t="str">
            <v>https://www.google.com/maps/dir/Catamarca+Sur+664,+San+Juan/Escuela+Valle+Grande,+Rawson,+San+Juan/Catamarca+Sur+664,+San+Juan/@-31.560851,-68.6053006,9873m/data=!3m2!1e3!4b1!4m20!4m19!1m5!1m1!1s0x9681402690dd76eb:0x4b283f8fe10ce3f3!2m2!1d-68.5293761!2d-31.5426363!1m5!1m1!1s0x96814151e7056adb:0x6ef5946c47259028!2m2!1d-68.5997281!2d-31.5673552!1m5!1m1!1s0x9681402690dd76eb:0x4b283f8fe10ce3f3!2m2!1d-68.5293761!2d-31.5426363!3e0?entry=ttu&amp;g_ep=EgoyMDI1MDgxMy4wIKXMDSoASAFQAw%3D%3D</v>
          </cell>
          <cell r="H37">
            <v>22.9</v>
          </cell>
        </row>
        <row r="38">
          <cell r="D38" t="str">
            <v>79G3Z60</v>
          </cell>
          <cell r="E38" t="str">
            <v>Rawson</v>
          </cell>
          <cell r="F38" t="str">
            <v>https://maps.app.goo.gl/MJL7CEo1HsixwAcH9</v>
          </cell>
          <cell r="G38" t="str">
            <v>https://www.google.com/maps/dir/Catamarca+Sur+664,+San+Juan/Escuela+Valle+Grande,+Rawson,+San+Juan/Catamarca+Sur+664,+San+Juan/@-31.560851,-68.6053006,9873m/data=!3m2!1e3!4b1!4m20!4m19!1m5!1m1!1s0x9681402690dd76eb:0x4b283f8fe10ce3f3!2m2!1d-68.5293761!2d-31.5426363!1m5!1m1!1s0x96814151e7056adb:0x6ef5946c47259028!2m2!1d-68.5997281!2d-31.5673552!1m5!1m1!1s0x9681402690dd76eb:0x4b283f8fe10ce3f3!2m2!1d-68.5293761!2d-31.5426363!3e0?entry=ttu&amp;g_ep=EgoyMDI1MDgxMy4wIKXMDSoASAFQAw%3D%3D</v>
          </cell>
          <cell r="H38">
            <v>22.9</v>
          </cell>
        </row>
        <row r="39">
          <cell r="D39" t="str">
            <v xml:space="preserve">79G3Z6H </v>
          </cell>
          <cell r="E39" t="str">
            <v>Capital</v>
          </cell>
          <cell r="F39" t="str">
            <v>https://maps.app.goo.gl/xYo6Ba3qTUGQ11ce6</v>
          </cell>
          <cell r="G39" t="str">
            <v>https://www.google.com/maps/dir/Catamarca+Sur+664,+San+Juan/Escuela+Normal+Superior+San+Mart%C3%ADn,+Estados+Unidos+Sur+500,+J5402EZN+San+Juan/@-31.5418377,-68.5308722,2469m/data=!3m2!1e3!4b1!4m14!4m13!1m5!1m1!1s0x9681402690dd76eb:0x4b283f8fe10ce3f3!2m2!1d-68.5293761!2d-31.5426363!1m5!1m1!1s0x96816a90b6401ee5:0x18134fdfa216264f!2m2!1d-68.5114442!2d-31.5405494!3e0?entry=ttu&amp;g_ep=EgoyMDI1MDYxNy4wIKXMDSoASAFQAw%3D%3D</v>
          </cell>
          <cell r="H39">
            <v>4</v>
          </cell>
        </row>
        <row r="40">
          <cell r="D40" t="str">
            <v>79G6XHW</v>
          </cell>
          <cell r="E40" t="str">
            <v>Capital</v>
          </cell>
          <cell r="F40" t="str">
            <v>https://maps.app.goo.gl/xYo6Ba3qTUGQ11ce6</v>
          </cell>
          <cell r="G40" t="str">
            <v>https://www.google.com/maps/dir/Catamarca+Sur+664,+San+Juan/Escuela+Normal+Superior+San+Mart%C3%ADn,+Estados+Unidos+Sur+500,+J5402EZN+San+Juan/@-31.5418377,-68.5308722,2469m/data=!3m2!1e3!4b1!4m14!4m13!1m5!1m1!1s0x9681402690dd76eb:0x4b283f8fe10ce3f3!2m2!1d-68.5293761!2d-31.5426363!1m5!1m1!1s0x96816a90b6401ee5:0x18134fdfa216264f!2m2!1d-68.5114442!2d-31.5405494!3e0?entry=ttu&amp;g_ep=EgoyMDI1MDYxNy4wIKXMDSoASAFQAw%3D%3D</v>
          </cell>
          <cell r="H40">
            <v>4</v>
          </cell>
        </row>
        <row r="41">
          <cell r="D41" t="str">
            <v>79G2RYG</v>
          </cell>
          <cell r="E41" t="str">
            <v>Capital</v>
          </cell>
          <cell r="F41" t="str">
            <v>https://maps.app.goo.gl/napz9FSpDY2Xziyu5</v>
          </cell>
          <cell r="G41" t="str">
            <v>https://www.google.com/maps/dir/Catamarca+Sur+664,+San+Juan/Escuela+Fray+Justo+Santa+Maria+De+oro,+C.+Juan+B+Alberdi+Oeste+175,+J5400+San+Juan/@-31.5341709,-68.5376641,2469m/data=!3m2!1e3!4b1!4m14!4m13!1m5!1m1!1s0x9681402690dd76eb:0x4b283f8fe10ce3f3!2m2!1d-68.5293761!2d-31.5426363!1m5!1m1!1s0x96816a7ff45e153f:0xf9312e9253b771a7!2m2!1d-68.5244161!2d-31.5258424!3e0?entry=ttu&amp;g_ep=EgoyMDI1MDYxNy4wIKXMDSoASAFQAw%3D%3D</v>
          </cell>
          <cell r="H41">
            <v>5</v>
          </cell>
        </row>
        <row r="42">
          <cell r="D42" t="str">
            <v>79G496L</v>
          </cell>
          <cell r="E42" t="str">
            <v>Rivadavia</v>
          </cell>
          <cell r="F42" t="str">
            <v>https://maps.app.goo.gl/4hmFJhDFYJQTyaDz7</v>
          </cell>
          <cell r="G42" t="str">
            <v>https://www.google.com/maps/dir/Catamarca+Sur+664,+San+Juan/Escuela+secundaria+Gral.+Ing.+Enrique+Mosconi,+J5400+Rivadavia,+San+Juan/@-31.537859,-68.6055235,9875m/data=!3m2!1e3!4b1!4m14!4m13!1m5!1m1!1s0x9681402690dd76eb:0x4b283f8fe10ce3f3!2m2!1d-68.5293761!2d-31.5426363!1m5!1m1!1s0x9681412160348a73:0x3b74554d660f6c66!2m2!1d-68.6005704!2d-31.5349318!3e0?entry=ttu&amp;g_ep=EgoyMDI1MDYxNy4wIKXMDSoASAFQAw%3D%3D</v>
          </cell>
          <cell r="H42">
            <v>16</v>
          </cell>
        </row>
        <row r="43">
          <cell r="D43" t="str">
            <v>7946P78</v>
          </cell>
          <cell r="E43" t="str">
            <v>Capital</v>
          </cell>
          <cell r="F43" t="str">
            <v>https://maps.app.goo.gl/xYo6Ba3qTUGQ11ce6</v>
          </cell>
          <cell r="G43" t="str">
            <v>https://www.google.com/maps/dir/Catamarca+Sur+664,+San+Juan/Escuela+Normal+Superior+San+Mart%C3%ADn,+Estados+Unidos+Sur+500,+J5402EZN+San+Juan/@-31.5418377,-68.5308722,2469m/data=!3m2!1e3!4b1!4m14!4m13!1m5!1m1!1s0x9681402690dd76eb:0x4b283f8fe10ce3f3!2m2!1d-68.5293761!2d-31.5426363!1m5!1m1!1s0x96816a90b6401ee5:0x18134fdfa216264f!2m2!1d-68.5114442!2d-31.5405494!3e0?entry=ttu&amp;g_ep=EgoyMDI1MDYxNy4wIKXMDSoASAFQAw%3D%3D</v>
          </cell>
          <cell r="H43">
            <v>4</v>
          </cell>
        </row>
        <row r="44">
          <cell r="D44" t="str">
            <v>79G321H</v>
          </cell>
          <cell r="E44" t="str">
            <v>Capital</v>
          </cell>
          <cell r="F44" t="str">
            <v>https://maps.app.goo.gl/xYo6Ba3qTUGQ11ce6</v>
          </cell>
          <cell r="G44" t="str">
            <v>https://www.google.com/maps/dir/Catamarca+Sur+664,+San+Juan/Escuela+Normal+Superior+San+Mart%C3%ADn,+Estados+Unidos+Sur+500,+J5402EZN+San+Juan/@-31.5418377,-68.5308722,2469m/data=!3m2!1e3!4b1!4m14!4m13!1m5!1m1!1s0x9681402690dd76eb:0x4b283f8fe10ce3f3!2m2!1d-68.5293761!2d-31.5426363!1m5!1m1!1s0x96816a90b6401ee5:0x18134fdfa216264f!2m2!1d-68.5114442!2d-31.5405494!3e0?entry=ttu&amp;g_ep=EgoyMDI1MDYxNy4wIKXMDSoASAFQAw%3D%3D</v>
          </cell>
          <cell r="H44">
            <v>4</v>
          </cell>
        </row>
        <row r="45">
          <cell r="D45" t="str">
            <v>79G1BZR</v>
          </cell>
          <cell r="E45" t="str">
            <v>Caucete</v>
          </cell>
          <cell r="F45" t="str">
            <v>https://maps.app.goo.gl/LqsdeJrP17Lk1PEy5</v>
          </cell>
          <cell r="G45" t="str">
            <v>https://www.google.com/maps/dir/Catamarca+Sur+664,+San+Juan/Escuela+Normal+Superior+General+Manuel+Belgrano,+9+de+Julio+964+S+(CP:+5442),+Caucete,+San+Juan/Catamarca+Sur+664,+San+Juan/@-31.5978361,-68.484563,19737m/data=!3m2!1e3!4b1!4m20!4m19!1m5!1m1!1s0x9681402690dd76eb:0x4b283f8fe10ce3f3!2m2!1d-68.5293761!2d-31.5426363!1m5!1m1!1s0x96810ee2d3f8ce4f:0x20ac166fffb53060!2m2!1d-68.2736487!2d-31.6541979!1m5!1m1!1s0x9681402690dd76eb:0x4b283f8fe10ce3f3!2m2!1d-68.5293761!2d-31.5426363!3e0?entry=ttu&amp;g_ep=EgoyMDI1MDgxMy4wIKXMDSoASAFQAw%3D%3D</v>
          </cell>
          <cell r="H45">
            <v>61.5</v>
          </cell>
        </row>
        <row r="46">
          <cell r="D46" t="str">
            <v>79G4MMH</v>
          </cell>
          <cell r="E46" t="str">
            <v>Caucete</v>
          </cell>
          <cell r="F46" t="str">
            <v>https://maps.app.goo.gl/LqsdeJrP17Lk1PEy5</v>
          </cell>
          <cell r="G46" t="str">
            <v>https://www.google.com/maps/dir/Catamarca+Sur+664,+San+Juan/Escuela+Normal+Superior+General+Manuel+Belgrano,+9+de+Julio+964+S+(CP:+5442),+Caucete,+San+Juan/Catamarca+Sur+664,+San+Juan/@-31.5978361,-68.484563,19737m/data=!3m2!1e3!4b1!4m20!4m19!1m5!1m1!1s0x9681402690dd76eb:0x4b283f8fe10ce3f3!2m2!1d-68.5293761!2d-31.5426363!1m5!1m1!1s0x96810ee2d3f8ce4f:0x20ac166fffb53060!2m2!1d-68.2736487!2d-31.6541979!1m5!1m1!1s0x9681402690dd76eb:0x4b283f8fe10ce3f3!2m2!1d-68.5293761!2d-31.5426363!3e0?entry=ttu&amp;g_ep=EgoyMDI1MDgxMy4wIKXMDSoASAFQAw%3D%3D</v>
          </cell>
          <cell r="H46">
            <v>61.5</v>
          </cell>
        </row>
        <row r="47">
          <cell r="D47" t="str">
            <v>793PZH7</v>
          </cell>
          <cell r="E47" t="str">
            <v>Caucete</v>
          </cell>
          <cell r="F47" t="str">
            <v>https://maps.app.goo.gl/LqsdeJrP17Lk1PEy5</v>
          </cell>
          <cell r="G47" t="str">
            <v>https://www.google.com/maps/dir/Catamarca+Sur+664,+San+Juan/Escuela+Normal+Superior+General+Manuel+Belgrano,+9+de+Julio+964+S+(CP:+5442),+Caucete,+San+Juan/Catamarca+Sur+664,+San+Juan/@-31.5978361,-68.484563,19737m/data=!3m2!1e3!4b1!4m20!4m19!1m5!1m1!1s0x9681402690dd76eb:0x4b283f8fe10ce3f3!2m2!1d-68.5293761!2d-31.5426363!1m5!1m1!1s0x96810ee2d3f8ce4f:0x20ac166fffb53060!2m2!1d-68.2736487!2d-31.6541979!1m5!1m1!1s0x9681402690dd76eb:0x4b283f8fe10ce3f3!2m2!1d-68.5293761!2d-31.5426363!3e0?entry=ttu&amp;g_ep=EgoyMDI1MDgxMy4wIKXMDSoASAFQAw%3D%3D</v>
          </cell>
          <cell r="H47">
            <v>61.5</v>
          </cell>
        </row>
        <row r="48">
          <cell r="D48" t="str">
            <v>79G2T27</v>
          </cell>
          <cell r="E48" t="str">
            <v>Caucete</v>
          </cell>
          <cell r="F48" t="str">
            <v>https://maps.app.goo.gl/dM1TYDLvu1HpSvCNA</v>
          </cell>
          <cell r="G48" t="str">
            <v>https://www.google.com/maps/dir/Catamarca+Sur+664,+San+Juan/Escuela+De+Comercio+Alfonsina+Storni,+Caucete,+San+Juan/Catamarca+Sur+664,+San+Juan/@-31.5981214,-68.4900249,19737m/data=!3m2!1e3!4b1!4m20!4m19!1m5!1m1!1s0x9681402690dd76eb:0x4b283f8fe10ce3f3!2m2!1d-68.5293761!2d-31.5426363!1m5!1m1!1s0x96810eff0544eb9f:0x92802e8c0565adc9!2m2!1d-68.284131!2d-31.6550678!1m5!1m1!1s0x9681402690dd76eb:0x4b283f8fe10ce3f3!2m2!1d-68.5293761!2d-31.5426363!3e0?entry=ttu&amp;g_ep=EgoyMDI1MDgxMy4wIKXMDSoASAFQAw%3D%3D</v>
          </cell>
          <cell r="H48">
            <v>59.8</v>
          </cell>
        </row>
        <row r="49">
          <cell r="D49" t="str">
            <v>79G2T13</v>
          </cell>
          <cell r="E49" t="str">
            <v>Jachal</v>
          </cell>
          <cell r="F49" t="str">
            <v>https://maps.app.goo.gl/ZZcXJUA2dHfNNWiH7</v>
          </cell>
          <cell r="G49" t="str">
            <v>https://www.google.com/maps/dir/Catamarca+Sur+664,+San+Juan/Alejandro+Fleming,+J%C3%A1chal,+San+Juan/Catamarca+Sur+664,+San+Juan/@-30.3000218,-69.0550579,84281m/data=!3m1!1e3!4m20!4m19!1m5!1m1!1s0x9681402690dd76eb:0x4b283f8fe10ce3f3!2m2!1d-68.5293761!2d-31.5426363!1m5!1m1!1s0x96835d06904b1b75:0xeb613218b9a14119!2m2!1d-68.7210546!2d-30.1215004!1m5!1m1!1s0x9681402690dd76eb:0x4b283f8fe10ce3f3!2m2!1d-68.5293761!2d-31.5426363!3e0?entry=ttu&amp;g_ep=EgoyMDI1MDgxMy4wIKXMDSoASAFQAw%3D%3D</v>
          </cell>
          <cell r="H49">
            <v>349</v>
          </cell>
        </row>
        <row r="50">
          <cell r="D50" t="str">
            <v>79G4MFK</v>
          </cell>
          <cell r="E50" t="str">
            <v>Jachal</v>
          </cell>
          <cell r="F50" t="str">
            <v>https://maps.app.goo.gl/FaeNdHzZHMpHFwC56</v>
          </cell>
          <cell r="G50" t="str">
            <v>https://www.google.com/maps/dir/Catamarca+Sur+664,+San+Juan/Escuela+de+Nivel+Medio+de+Niquivil,+S%C3%A1n+Mart%C3%ADn,+Niquivil,+J%C3%A1chal,+San+Juan/Catamarca+Sur+664,+San+Juan/@-30.5314458,-69.0461802,67365m/data=!3m1!1e3!4m20!4m19!1m5!1m1!1s0x9681402690dd76eb:0x4b283f8fe10ce3f3!2m2!1d-68.5293761!2d-31.5426363!1m5!1m1!1s0x968371672ace8a69:0x1fa957c68700f734!2m2!1d-68.6945626!2d-30.3993822!1m5!1m1!1s0x9681402690dd76eb:0x4b283f8fe10ce3f3!2m2!1d-68.5293761!2d-31.5426363!3e0?entry=ttu&amp;g_ep=EgoyMDI1MDgxMy4wIKXMDSoASAFQAw%3D%3D</v>
          </cell>
          <cell r="H50">
            <v>278</v>
          </cell>
        </row>
        <row r="51">
          <cell r="D51" t="str">
            <v>7946PC9</v>
          </cell>
          <cell r="E51" t="str">
            <v>Jachal</v>
          </cell>
          <cell r="F51" t="str">
            <v>https://maps.app.goo.gl/5aBsb6gu9ZnqEpg46</v>
          </cell>
          <cell r="G51" t="str">
            <v>https://www.google.com/maps/dir/Catamarca+Sur+664,+San+Juan/Escuela+de+Nivel+Medio+Pampa+Vieja,+San+Juan/Catamarca+Sur+664,+San+Juan/@-30.4509531,-69.1399645,92633m/data=!3m1!1e3!4m20!4m19!1m5!1m1!1s0x9681402690dd76eb:0x4b283f8fe10ce3f3!2m2!1d-68.5293761!2d-31.5426363!1m5!1m1!1s0x96836843a62faa2d:0x3f3833ec08e73fd2!2m2!1d-68.6880159!2d-30.2283284!1m5!1m1!1s0x9681402690dd76eb:0x4b283f8fe10ce3f3!2m2!1d-68.5293761!2d-31.5426363!3e0?entry=ttu&amp;g_ep=EgoyMDI1MDgxMy4wIKXMDSoASAFQAw%3D%3D</v>
          </cell>
          <cell r="H51">
            <v>332</v>
          </cell>
        </row>
        <row r="52">
          <cell r="D52" t="str">
            <v>793H5G7</v>
          </cell>
          <cell r="E52" t="str">
            <v>Jachal</v>
          </cell>
          <cell r="F52" t="str">
            <v>https://maps.app.goo.gl/HjLhyGFybTay5eik9</v>
          </cell>
          <cell r="G52" t="str">
            <v>https://www.google.com/maps/dir/Catamarca+Sur+664,+San+Juan/Escuela+de+Comercio+Eusebio+de+Jesus+Dojorti,+Chubut,+Jujuy+y,+San+Jose+de+Jachal,+San+Juan/Catamarca+Sur+664,+San+Juan/@-30.895079,-69.2780677,159078m/data=!3m2!1e3!4b1!4m20!4m19!1m5!1m1!1s0x9681402690dd76eb:0x4b283f8fe10ce3f3!2m2!1d-68.5293761!2d-31.5426363!1m5!1m1!1s0x9683675b1411871f:0x7152ee1c86e27f52!2m2!1d-68.73182!2d-30.2439275!1m5!1m1!1s0x9681402690dd76eb:0x4b283f8fe10ce3f3!2m2!1d-68.5293761!2d-31.5426363!3e0?entry=ttu&amp;g_ep=EgoyMDI1MDgxMy4wIKXMDSoASAFQAw%3D%3D</v>
          </cell>
          <cell r="H52">
            <v>319</v>
          </cell>
        </row>
        <row r="53">
          <cell r="D53" t="str">
            <v>79G4MNF</v>
          </cell>
          <cell r="E53" t="str">
            <v>Jachal</v>
          </cell>
          <cell r="F53" t="str">
            <v>https://maps.app.goo.gl/mKLLm54RhXXDi4q76</v>
          </cell>
          <cell r="G53" t="str">
            <v>https://www.google.com/maps/dir/Catamarca+Sur+664,+San+Juan/Escuela+Antonio+Quaranta,+Rawson,+J5460+San+Jose+de+Jachal,+San+Juan/Catamarca+Sur+664,+San+Juan/@-30.4163517,-69.1397133,72902m/data=!3m1!1e3!4m20!4m19!1m5!1m1!1s0x9681402690dd76eb:0x4b283f8fe10ce3f3!2m2!1d-68.5293761!2d-31.5426363!1m5!1m1!1s0x96836758ac1b710d:0x62465014fa63bf12!2m2!1d-68.7455392!2d-30.2460323!1m5!1m1!1s0x9681402690dd76eb:0x4b283f8fe10ce3f3!2m2!1d-68.5293761!2d-31.5426363!3e0?entry=ttu&amp;g_ep=EgoyMDI1MDgxMy4wIKXMDSoASAFQAw%3D%3D</v>
          </cell>
          <cell r="H53">
            <v>321</v>
          </cell>
        </row>
        <row r="54">
          <cell r="D54" t="str">
            <v>79G5M70</v>
          </cell>
          <cell r="E54" t="str">
            <v>VALLE FÉRTIL</v>
          </cell>
          <cell r="F54" t="str">
            <v>https://maps.app.goo.gl/B7czPY29Ks7UQ8CeA</v>
          </cell>
          <cell r="G54" t="str">
            <v>https://www.google.com/maps/dir/Catamarca+Sur+664,+San+Juan/Escuela+Benito+Lynch,+El+Cha%C3%B1ar,+San+Juan/Catamarca+Sur+664,+San+Juan/@-31.3541018,-68.5303564,158310m/data=!3m2!1e3!4b1!4m20!4m19!1m5!1m1!1s0x9681402690dd76eb:0x4b283f8fe10ce3f3!2m2!1d-68.5293761!2d-31.5426363!1m5!1m1!1s0x9429fedec2155555:0x28e80f0c43315d45!2m2!1d-67.3010737!2d-30.9541499!1m5!1m1!1s0x9681402690dd76eb:0x4b283f8fe10ce3f3!2m2!1d-68.5293761!2d-31.5426363!3e0?entry=ttu&amp;g_ep=EgoyMDI1MDgxMy4wIKXMDSoASAFQAw%3D%3D</v>
          </cell>
          <cell r="H54">
            <v>417</v>
          </cell>
        </row>
        <row r="55">
          <cell r="D55" t="str">
            <v>79G4MFR</v>
          </cell>
          <cell r="E55" t="str">
            <v>VALLE FÉRTIL</v>
          </cell>
          <cell r="F55" t="str">
            <v>https://maps.app.goo.gl/B7czPY29Ks7UQ8CeA</v>
          </cell>
          <cell r="G55" t="str">
            <v>https://www.google.com/maps/dir/Catamarca+Sur+664,+San+Juan/Escuela+Benito+Lynch,+El+Cha%C3%B1ar,+San+Juan/Catamarca+Sur+664,+San+Juan/@-31.3541018,-68.5303564,158310m/data=!3m2!1e3!4b1!4m20!4m19!1m5!1m1!1s0x9681402690dd76eb:0x4b283f8fe10ce3f3!2m2!1d-68.5293761!2d-31.5426363!1m5!1m1!1s0x9429fedec2155555:0x28e80f0c43315d45!2m2!1d-67.3010737!2d-30.9541499!1m5!1m1!1s0x9681402690dd76eb:0x4b283f8fe10ce3f3!2m2!1d-68.5293761!2d-31.5426363!3e0?entry=ttu&amp;g_ep=EgoyMDI1MDgxMy4wIKXMDSoASAFQAw%3D%3D</v>
          </cell>
          <cell r="H55">
            <v>417</v>
          </cell>
        </row>
        <row r="56">
          <cell r="D56" t="str">
            <v>79G2T1M</v>
          </cell>
          <cell r="E56" t="str">
            <v>VALLE FÉRTIL</v>
          </cell>
          <cell r="F56" t="str">
            <v>https://maps.app.goo.gl/B7czPY29Ks7UQ8CeA</v>
          </cell>
          <cell r="G56" t="str">
            <v>https://www.google.com/maps/dir/Catamarca+Sur+664,+San+Juan/Escuela+Benito+Lynch,+El+Cha%C3%B1ar,+San+Juan/Catamarca+Sur+664,+San+Juan/@-31.3541018,-68.5303564,158310m/data=!3m2!1e3!4b1!4m20!4m19!1m5!1m1!1s0x9681402690dd76eb:0x4b283f8fe10ce3f3!2m2!1d-68.5293761!2d-31.5426363!1m5!1m1!1s0x9429fedec2155555:0x28e80f0c43315d45!2m2!1d-67.3010737!2d-30.9541499!1m5!1m1!1s0x9681402690dd76eb:0x4b283f8fe10ce3f3!2m2!1d-68.5293761!2d-31.5426363!3e0?entry=ttu&amp;g_ep=EgoyMDI1MDgxMy4wIKXMDSoASAFQAw%3D%3D</v>
          </cell>
          <cell r="H56">
            <v>417</v>
          </cell>
        </row>
        <row r="57">
          <cell r="D57" t="str">
            <v>79G12ZB</v>
          </cell>
          <cell r="E57" t="str">
            <v>VALLE FÉRTIL</v>
          </cell>
          <cell r="F57" t="str">
            <v>https://maps.app.goo.gl/B7czPY29Ks7UQ8CeA</v>
          </cell>
          <cell r="G57" t="str">
            <v>https://www.google.com/maps/dir/Catamarca+Sur+664,+San+Juan/Escuela+Benito+Lynch,+El+Cha%C3%B1ar,+San+Juan/Catamarca+Sur+664,+San+Juan/@-31.3541018,-68.5303564,158310m/data=!3m2!1e3!4b1!4m20!4m19!1m5!1m1!1s0x9681402690dd76eb:0x4b283f8fe10ce3f3!2m2!1d-68.5293761!2d-31.5426363!1m5!1m1!1s0x9429fedec2155555:0x28e80f0c43315d45!2m2!1d-67.3010737!2d-30.9541499!1m5!1m1!1s0x9681402690dd76eb:0x4b283f8fe10ce3f3!2m2!1d-68.5293761!2d-31.5426363!3e0?entry=ttu&amp;g_ep=EgoyMDI1MDgxMy4wIKXMDSoASAFQAw%3D%3D</v>
          </cell>
          <cell r="H57">
            <v>417</v>
          </cell>
        </row>
        <row r="58">
          <cell r="D58" t="str">
            <v>793H5M3</v>
          </cell>
          <cell r="E58" t="str">
            <v>VALLE FÉRTIL</v>
          </cell>
          <cell r="F58" t="str">
            <v>https://maps.app.goo.gl/WzD8j3tNYUnkp1nk6</v>
          </cell>
          <cell r="G58" t="str">
            <v>https://www.google.com/maps/dir/Catamarca+Sur+664,+San+Juan/Escuela+Armada+Argentina,+Baldecitos,+San+Juan/Catamarca+Sur+664,+San+Juan/@-30.8324626,-69.5228774,318363m/data=!3m2!1e3!4b1!4m20!4m19!1m5!1m1!1s0x9681402690dd76eb:0x4b283f8fe10ce3f3!2m2!1d-68.5293761!2d-31.5426363!1m5!1m1!1s0x96828d7bd799257b:0xa02537f0bfd98b8e!2m2!1d-67.6939678!2d-30.2215826!1m5!1m1!1s0x9681402690dd76eb:0x4b283f8fe10ce3f3!2m2!1d-68.5293761!2d-31.5426363!3e0?entry=ttu&amp;g_ep=EgoyMDI1MDgxMy4wIKXMDSoASAFQAw%3D%3D</v>
          </cell>
          <cell r="H58">
            <v>570</v>
          </cell>
        </row>
        <row r="59">
          <cell r="D59" t="str">
            <v>79G3LKH</v>
          </cell>
          <cell r="E59" t="str">
            <v>Caucete</v>
          </cell>
          <cell r="F59" t="str">
            <v>https://maps.app.goo.gl/pMB1XjGisw7Ateqt9</v>
          </cell>
          <cell r="G59" t="str">
            <v>https://www.google.com/maps/dir/Catamarca+Sur+664,+San+Juan/Escuela+Leonor+S%C3%A1nchez+de+Arancibia,+J5442+Caucete,+San+Juan/Catamarca+Sur+664,+San+Juan/@-31.5968129,-68.4912887,19738m/data=!3m2!1e3!4b1!4m20!4m19!1m5!1m1!1s0x9681402690dd76eb:0x4b283f8fe10ce3f3!2m2!1d-68.5293761!2d-31.5426363!1m5!1m1!1s0x96810e5642ec52c9:0xf11e42f184869c0e!2m2!1d-68.2880184!2d-31.6523474!1m5!1m1!1s0x9681402690dd76eb:0x4b283f8fe10ce3f3!2m2!1d-68.5293761!2d-31.5426363!3e0?entry=ttu&amp;g_ep=EgoyMDI1MDgxMy4wIKXMDSoASAFQAw%3D%3D</v>
          </cell>
          <cell r="H59">
            <v>59.1</v>
          </cell>
        </row>
        <row r="60">
          <cell r="D60" t="str">
            <v>79G3BPX</v>
          </cell>
          <cell r="E60" t="str">
            <v>Caucete</v>
          </cell>
          <cell r="F60" t="str">
            <v>https://maps.app.goo.gl/LqsdeJrP17Lk1PEy5</v>
          </cell>
          <cell r="G60" t="str">
            <v>https://www.google.com/maps/dir/Catamarca+Sur+664,+San+Juan/Escuela+Normal+Superior+General+Manuel+Belgrano,+9+de+Julio+964+S+(CP:+5442),+Caucete,+San+Juan/Catamarca+Sur+664,+San+Juan/@-31.5978361,-68.484563,19737m/data=!3m2!1e3!4b1!4m20!4m19!1m5!1m1!1s0x9681402690dd76eb:0x4b283f8fe10ce3f3!2m2!1d-68.5293761!2d-31.5426363!1m5!1m1!1s0x96810ee2d3f8ce4f:0x20ac166fffb53060!2m2!1d-68.2736487!2d-31.6541979!1m5!1m1!1s0x9681402690dd76eb:0x4b283f8fe10ce3f3!2m2!1d-68.5293761!2d-31.5426363!3e0?entry=ttu&amp;g_ep=EgoyMDI1MDgxMy4wIKXMDSoASAFQAw%3D%3D</v>
          </cell>
          <cell r="H60">
            <v>61.5</v>
          </cell>
        </row>
        <row r="61">
          <cell r="D61" t="str">
            <v>79G1C6R</v>
          </cell>
          <cell r="E61" t="str">
            <v>Caucete</v>
          </cell>
          <cell r="F61" t="str">
            <v>https://maps.app.goo.gl/kGvF7Fcs3FKAaowYA</v>
          </cell>
          <cell r="G61" t="str">
            <v>https://www.google.com/maps/dir/Catamarca+Sur+664,+San+Juan/Escuela+Jose+Chirapozu,+182,+Urquiza,+Caucete,+San+Juan/Catamarca+Sur+664,+San+Juan/@-31.5974154,-68.488593,19737m/data=!3m2!1e3!4b1!4m20!4m19!1m5!1m1!1s0x9681402690dd76eb:0x4b283f8fe10ce3f3!2m2!1d-68.5293761!2d-31.5426363!1m5!1m1!1s0x96810efec14b3df9:0x5bc7af569443c69!2m2!1d-68.2820048!2d-31.6534507!1m5!1m1!1s0x9681402690dd76eb:0x4b283f8fe10ce3f3!2m2!1d-68.5293761!2d-31.5426363!3e0?entry=ttu&amp;g_ep=EgoyMDI1MDgxMy4wIKXMDSoASAFQAw%3D%3D</v>
          </cell>
          <cell r="H61">
            <v>59.6</v>
          </cell>
        </row>
        <row r="62">
          <cell r="D62" t="str">
            <v>793PG51</v>
          </cell>
          <cell r="E62" t="str">
            <v>Caucete</v>
          </cell>
          <cell r="F62" t="str">
            <v>https://maps.app.goo.gl/A3RLf3F2jLK63YRV6</v>
          </cell>
          <cell r="G62" t="str">
            <v>https://www.google.com/maps/dir/Catamarca+Sur+664,+San+Juan/E.N.I.+N%C2%B024+Juan+Pablo+II,+J5442+Caucete,+San+Juan/Catamarca+Sur+664,+San+Juan/@-31.5977741,-68.488593,19737m/data=!3m2!1e3!4b1!4m20!4m19!1m5!1m1!1s0x9681402690dd76eb:0x4b283f8fe10ce3f3!2m2!1d-68.5293761!2d-31.5426363!1m5!1m1!1s0x96810fa6d0177f95:0xcb5d7e7ab2065df3!2m2!1d-68.2821184!2d-31.6543323!1m5!1m1!1s0x9681402690dd76eb:0x4b283f8fe10ce3f3!2m2!1d-68.5293761!2d-31.5426363!3e0?entry=ttu&amp;g_ep=EgoyMDI1MDgxMy4wIKXMDSoASAFQAw%3D%3D</v>
          </cell>
          <cell r="H62">
            <v>59.6</v>
          </cell>
        </row>
        <row r="63">
          <cell r="D63" t="str">
            <v>793H5L6</v>
          </cell>
          <cell r="E63" t="str">
            <v>Angaco</v>
          </cell>
          <cell r="F63" t="str">
            <v>https://maps.app.goo.gl/Bez9ADJYBrf1WnVQ6</v>
          </cell>
          <cell r="G63" t="str">
            <v>https://www.google.com/maps/dir/Catamarca+Sur+664,+San+Juan/Escuela+Secundaria+Cirilo+Sarmiento,+San+Juan/Catamarca+Sur+664,+San+Juan/@-31.490824,-68.5761802,19760m/data=!3m1!1e3!4m20!4m19!1m5!1m1!1s0x9681402690dd76eb:0x4b283f8fe10ce3f3!2m2!1d-68.5293761!2d-31.5426363!1m5!1m1!1s0x9681693deacda2db:0x4cbc163ba834cc8a!2m2!1d-68.4518127!2d-31.442152!1m5!1m1!1s0x9681402690dd76eb:0x4b283f8fe10ce3f3!2m2!1d-68.5293761!2d-31.5426363!3e0?entry=ttu&amp;g_ep=EgoyMDI1MDgxMy4wIKXMDSoASAFQAw%3D%3D</v>
          </cell>
          <cell r="H63">
            <v>43.1</v>
          </cell>
        </row>
        <row r="64">
          <cell r="D64" t="str">
            <v>7946P76</v>
          </cell>
          <cell r="E64" t="str">
            <v>Angaco</v>
          </cell>
          <cell r="F64" t="str">
            <v>https://maps.app.goo.gl/XkTYupWeLQhQsj3BA</v>
          </cell>
          <cell r="G64" t="str">
            <v>https://www.google.com/maps/dir/Catamarca+Sur+664,+San+Juan/Colegio+Secundario+Cacique+Angaco,+Mercedes,+Angaco,+Provincia+de+Buenos+Aires/Catamarca+Sur+664,+San+Juan/@-31.5057825,-68.5548722,19757m/data=!3m2!1e3!4b1!4m20!4m19!1m5!1m1!1s0x9681402690dd76eb:0x4b283f8fe10ce3f3!2m2!1d-68.5293761!2d-31.5426363!1m5!1m1!1s0x96816ea3c56c8a6d:0x7bfc4d265c1e06de!2m2!1d-68.4091839!2d-31.4569512!1m5!1m1!1s0x9681402690dd76eb:0x4b283f8fe10ce3f3!2m2!1d-68.5293761!2d-31.5426363!3e0?entry=ttu&amp;g_ep=EgoyMDI1MDgxMy4wIKXMDSoASAFQAw%3D%3D</v>
          </cell>
          <cell r="H64">
            <v>43.2</v>
          </cell>
        </row>
        <row r="65">
          <cell r="D65" t="str">
            <v>793PZK2</v>
          </cell>
          <cell r="E65" t="str">
            <v>Albardón</v>
          </cell>
          <cell r="F65" t="str">
            <v>https://maps.app.goo.gl/VDQNXDycphHRQFjm9</v>
          </cell>
          <cell r="G65" t="str">
            <v>https://www.google.com/maps/dir/Catamarca+Sur+664,+San+Juan/Escuela+Juan+Mantovani,+J5419+Villa+Gral.+San+Martin,+San+Juan/Catamarca+Sur+664,+San+Juan/@-31.4964261,-68.601825,19759m/data=!3m2!1e3!4b1!4m20!4m19!1m5!1m1!1s0x9681402690dd76eb:0x4b283f8fe10ce3f3!2m2!1d-68.5293761!2d-31.5426363!1m5!1m1!1s0x9681682ae023d839:0x2b200dd667c762d2!2m2!1d-68.5219807!2d-31.4381874!1m5!1m1!1s0x9681402690dd76eb:0x4b283f8fe10ce3f3!2m2!1d-68.5293761!2d-31.5426363!3e0?entry=ttu&amp;g_ep=EgoyMDI1MDgxMy4wIKXMDSoASAFQAw%3D%3D</v>
          </cell>
          <cell r="H65">
            <v>31.4</v>
          </cell>
        </row>
        <row r="66">
          <cell r="D66" t="str">
            <v>7946PDZ</v>
          </cell>
          <cell r="E66" t="str">
            <v>Albardón</v>
          </cell>
          <cell r="F66" t="str">
            <v>https://maps.google.com/maps?q=-31.4276872%2C-68.5020055&amp;z=17&amp;hl=es</v>
          </cell>
          <cell r="G66" t="str">
            <v>https://www.google.com/maps/dir/Catamarca+Sur+664,+San+Juan/Colegio+Gral.+Don+Toribio+de+Luzuriaga,+Nacional,+J5419+Villa+Gral.+San+Martin,+San+Juan/Catamarca+Sur+664,+San+Juan/@-31.4913565,-68.6012244,19760m/data=!3m2!1e3!4b1!4m20!4m19!1m5!1m1!1s0x9681402690dd76eb:0x4b283f8fe10ce3f3!2m2!1d-68.5293761!2d-31.5426363!1m5!1m1!1s0x9681683633706625:0x1ec70dfe06f0b20e!2m2!1d-68.5019143!2d-31.4280533!1m5!1m1!1s0x9681402690dd76eb:0x4b283f8fe10ce3f3!2m2!1d-68.5293761!2d-31.5426363!3e0?hl=es&amp;entry=ttu&amp;g_ep=EgoyMDI1MDgxMy4wIKXMDSoASAFQAw%3D%3D</v>
          </cell>
          <cell r="H66">
            <v>36.299999999999997</v>
          </cell>
        </row>
        <row r="67">
          <cell r="D67" t="str">
            <v>79G3F7B</v>
          </cell>
          <cell r="E67" t="str">
            <v>Albardón</v>
          </cell>
          <cell r="F67" t="str">
            <v>https://maps.app.goo.gl/Twc3cyh3K5m3TiRKA</v>
          </cell>
          <cell r="G67" t="str">
            <v>https://www.google.com/maps/dir/Catamarca+Sur+664,+San+Juan/Escuela+Secundaria+Presidente+N%C3%A9stor+Carlos+Kirchner,+Campo+Afuera,+Albard%C3%B3n,+San+Juan/Catamarca+Sur+664,+San+Juan/@-31.4880189,-68.6058482,19761m/data=!3m2!1e3!4b1!4m20!4m19!1m5!1m1!1s0x9681402690dd76eb:0x4b283f8fe10ce3f3!2m2!1d-68.5293761!2d-31.5426363!1m5!1m1!1s0x96814297ce152247:0x108d9d58b5998ceb!2m2!1d-68.5390699!2d-31.4215113!1m5!1m1!1s0x9681402690dd76eb:0x4b283f8fe10ce3f3!2m2!1d-68.5293761!2d-31.5426363!3e0?entry=ttu&amp;g_ep=EgoyMDI1MDgxMy4wIKXMDSoASAFQAw%3D%3D</v>
          </cell>
          <cell r="H67">
            <v>37.4</v>
          </cell>
        </row>
        <row r="68">
          <cell r="D68" t="str">
            <v>79G0BLG</v>
          </cell>
          <cell r="E68" t="str">
            <v>Albardón</v>
          </cell>
          <cell r="F68" t="str">
            <v>https://maps.app.goo.gl/MJoMFLg9PSZottHt7</v>
          </cell>
          <cell r="G68" t="str">
            <v>https://www.google.com/maps/dir/Catamarca+Sur+664,+San+Juan/Escuela+Adan+Quiroga,+Albard%C3%B3n,+San+Juan/Catamarca+Sur+664,+San+Juan/@-31.5006351,-68.6295887,19758m/data=!3m2!1e3!4b1!4m20!4m19!1m5!1m1!1s0x9681402690dd76eb:0x4b283f8fe10ce3f3!2m2!1d-68.5293761!2d-31.5426363!1m5!1m1!1s0x96814251f6f6a563:0x7ea32ea0d0cd0c93!2m2!1d-68.5649969!2d-31.4571928!1m5!1m1!1s0x9681402690dd76eb:0x4b283f8fe10ce3f3!2m2!1d-68.5293761!2d-31.5426363!3e0?entry=ttu&amp;g_ep=EgoyMDI1MDgxMy4wIKXMDSoASAFQAw%3D%3D</v>
          </cell>
          <cell r="H68">
            <v>21.6</v>
          </cell>
        </row>
        <row r="69">
          <cell r="D69" t="str">
            <v>793H5LL</v>
          </cell>
          <cell r="E69" t="str">
            <v>SARMIENTO</v>
          </cell>
          <cell r="F69" t="str">
            <v>https://maps.app.goo.gl/rXsrdYL7ixGHTRJH6</v>
          </cell>
          <cell r="G69" t="str">
            <v>https://www.google.com/maps/dir/Catamarca+Sur+664,+San+Juan/Esc.+Agrot%C3%A9cnica+Sarmiento,+Avenida+25+de+Mayo,+Media+Agua,+Sarmiento,+San+Juan/Catamarca+Sur+664,+San+Juan/@-31.7654839,-68.8204968,78807m/data=!3m2!1e3!4b1!4m20!4m19!1m5!1m1!1s0x9681402690dd76eb:0x4b283f8fe10ce3f3!2m2!1d-68.5293761!2d-31.5426363!1m5!1m1!1s0x9680e40144e235e5:0xab34cb317d3756d6!2m2!1d-68.4242972!2d-31.9916446!1m5!1m1!1s0x9681402690dd76eb:0x4b283f8fe10ce3f3!2m2!1d-68.5293761!2d-31.5426363!3e0?entry=ttu&amp;g_ep=EgoyMDI1MDgxMy4wIKXMDSoASAFQAw%3D%3D</v>
          </cell>
          <cell r="H69">
            <v>114</v>
          </cell>
        </row>
        <row r="70">
          <cell r="D70" t="str">
            <v>79G3PY2</v>
          </cell>
          <cell r="E70" t="str">
            <v>Rawson</v>
          </cell>
          <cell r="F70" t="str">
            <v>https://maps.app.goo.gl/zvL6CdEfJryYmbqC7</v>
          </cell>
          <cell r="G70" t="str">
            <v>https://www.google.com/maps/dir/Catamarca+Sur+664,+San+Juan/Escuela+Saturnino+Sarassa,+J+Celman+Oeste+235,+San+Juan/Catamarca+Sur+664,+San+Juan/@-31.5558851,-68.5653568,4937m/data=!3m2!1e3!4b1!4m20!4m19!1m5!1m1!1s0x9681402690dd76eb:0x4b283f8fe10ce3f3!2m2!1d-68.5293761!2d-31.5426363!1m5!1m1!1s0x9681169555555555:0x9e5bd2cf3d3fc1d9!2m2!1d-68.5614526!2d-31.5667798!1m5!1m1!1s0x9681402690dd76eb:0x4b283f8fe10ce3f3!2m2!1d-68.5293761!2d-31.5426363!3e0?entry=ttu&amp;g_ep=EgoyMDI1MDgxMy4wIKXMDSoASAFQAw%3D%3D</v>
          </cell>
          <cell r="H70">
            <v>11.5</v>
          </cell>
        </row>
        <row r="71">
          <cell r="D71" t="str">
            <v>79G49F9</v>
          </cell>
          <cell r="E71" t="str">
            <v>Rawson</v>
          </cell>
          <cell r="F71" t="str">
            <v>https://maps.app.goo.gl/xfPrVxdJnDBh5MJM7</v>
          </cell>
          <cell r="G71" t="str">
            <v>https://www.google.com/maps/dir/Catamarca+Sur+664,+San+Juan/Escuela+secundaria+Jos%C3%A9+Manuel+Estrada,+Valle+F%C3%A9rtil+Sur+165,+J5425+Villa+Krause,+San+Juan/Catamarca+Sur+664,+San+Juan/@-31.5628482,-68.5640073,9872m/data=!3m2!1e3!4b1!4m20!4m19!1m5!1m1!1s0x9681402690dd76eb:0x4b283f8fe10ce3f3!2m2!1d-68.5293761!2d-31.5426363!1m5!1m1!1s0x96813f356f085e0b:0x1b1dc771495de46c!2m2!1d-68.5321224!2d-31.583919!1m5!1m1!1s0x9681402690dd76eb:0x4b283f8fe10ce3f3!2m2!1d-68.5293761!2d-31.5426363!3e0?entry=ttu&amp;g_ep=EgoyMDI1MDgxMy4wIKXMDSoASAFQAw%3D%3D</v>
          </cell>
          <cell r="H71">
            <v>13.7</v>
          </cell>
        </row>
        <row r="72">
          <cell r="D72" t="str">
            <v>7944B1F</v>
          </cell>
          <cell r="E72" t="str">
            <v>Rawson</v>
          </cell>
          <cell r="F72" t="str">
            <v>https://maps.app.goo.gl/cfwjey7BkoZuvHEx9</v>
          </cell>
          <cell r="G72" t="str">
            <v>https://www.google.com/maps/dir/Catamarca+Sur+664,+San+Juan/Barrio+Valle+Grande,+Calle+Chacabuco+Sur,+Rivadavia,+San+Juan/Catamarca+Sur+664,+San+Juan/@-31.560851,-68.603835,9873m/data=!3m2!1e3!4b1!4m20!4m19!1m5!1m1!1s0x9681402690dd76eb:0x4b283f8fe10ce3f3!2m2!1d-68.5293761!2d-31.5426363!1m5!1m1!1s0x968140bdee5ed25d:0xf9e8e516dc3a0580!2m2!1d-68.5971886!2d-31.5705146!1m5!1m1!1s0x9681402690dd76eb:0x4b283f8fe10ce3f3!2m2!1d-68.5293761!2d-31.5426363!3e0?entry=ttu&amp;g_ep=EgoyMDI1MDgxMy4wIKXMDSoASAFQAw%3D%3D</v>
          </cell>
          <cell r="H72">
            <v>21.3</v>
          </cell>
        </row>
        <row r="73">
          <cell r="D73" t="str">
            <v>793FWTX</v>
          </cell>
          <cell r="E73" t="str">
            <v>Capital</v>
          </cell>
          <cell r="F73" t="str">
            <v>https://maps.app.goo.gl/D7pFkM3sJ7DGv7C28</v>
          </cell>
          <cell r="G73" t="str">
            <v>https://www.google.com/maps/dir/Catamarca+Sur+664,+San+Juan/Escuela+%C3%81ngel+D.+Rojas,+J5402BXC,+Agust%C3%ADn+G%C3%B3mez+Este+101-199,+J5402+BXC,+San+Juan/Catamarca+Sur+664,+San+Juan/@-31.5469561,-68.5364926,2469m/data=!3m2!1e3!4b1!4m20!4m19!1m5!1m1!1s0x9681402690dd76eb:0x4b283f8fe10ce3f3!2m2!1d-68.5293761!2d-31.5426363!1m5!1m1!1s0x96816aa1217f9da1:0x6eb5cbbba68e2c97!2m2!1d-68.5216852!2d-31.5524697!1m5!1m1!1s0x9681402690dd76eb:0x4b283f8fe10ce3f3!2m2!1d-68.5293761!2d-31.5426363!3e0?entry=ttu&amp;g_ep=EgoyMDI1MDgxMy4wIKXMDSoASAFQAw%3D%3D</v>
          </cell>
          <cell r="H73">
            <v>3.8</v>
          </cell>
        </row>
        <row r="74">
          <cell r="D74" t="str">
            <v>79G3LKD</v>
          </cell>
          <cell r="E74" t="str">
            <v>Capital</v>
          </cell>
          <cell r="F74" t="str">
            <v>https://maps.app.goo.gl/D6fe9C1MeU3SVeR47</v>
          </cell>
          <cell r="G74" t="str">
            <v>https://www.google.com/maps/dir/Catamarca+Sur+664,+San+Juan/C.E.N.S.+N%C2%B0+239+-+Escuela+Primaria+Capital+Federal,+C.+S+Sarassa+Oeste+1425,+J5402+San+Juan/Catamarca+Sur+664,+San+Juan/@-31.5475701,-68.5454792,2468m/data=!3m2!1e3!4b1!4m20!4m19!1m5!1m1!1s0x9681402690dd76eb:0x4b283f8fe10ce3f3!2m2!1d-68.5293761!2d-31.5426363!1m5!1m1!1s0x9681403df5857a11:0x6020bb2eaf1fcd7!2m2!1d-68.5413762!2d-31.5517346!1m5!1m1!1s0x9681402690dd76eb:0x4b283f8fe10ce3f3!2m2!1d-68.5293761!2d-31.5426363!3e0?entry=ttu&amp;g_ep=EgoyMDI1MDgxMy4wIKXMDSoASAFQAw%3D%3D</v>
          </cell>
          <cell r="H74">
            <v>10</v>
          </cell>
        </row>
        <row r="75">
          <cell r="D75" t="str">
            <v>79G3F82</v>
          </cell>
          <cell r="E75" t="str">
            <v>Capital</v>
          </cell>
          <cell r="F75" t="str">
            <v>https://maps.app.goo.gl/FRzb7s82dYgm6QUV8</v>
          </cell>
          <cell r="G75" t="str">
            <v>https://www.google.com/maps/dir/Catamarca+Sur+664,+San+Juan/Escuela+Primaria+%22Mar%C3%ADa+Luisa+Villarino+de+Del+Carril%22,+Sgto.+Cabral+Oeste+1722,+J5400+San+Juan/Catamarca+Sur+664,+San+Juan/@-31.5374355,-68.5642218,4938m/data=!3m2!1e3!4b1!4m20!4m19!1m5!1m1!1s0x9681402690dd76eb:0x4b283f8fe10ce3f3!2m2!1d-68.5293761!2d-31.5426363!1m5!1m1!1s0x968141ba3dc83c0b:0x748a603839a43cee!2m2!1d-68.5556233!2d-31.5202168!1m5!1m1!1s0x9681402690dd76eb:0x4b283f8fe10ce3f3!2m2!1d-68.5293761!2d-31.5426363!3e0?entry=ttu&amp;g_ep=EgoyMDI1MDgxMy4wIKXMDSoASAFQAw%3D%3D</v>
          </cell>
          <cell r="H75">
            <v>11.8</v>
          </cell>
        </row>
        <row r="76">
          <cell r="D76" t="str">
            <v>79G60B6</v>
          </cell>
          <cell r="E76" t="str">
            <v>Albardón</v>
          </cell>
          <cell r="F76" t="str">
            <v>https://maps.app.goo.gl/RTXqwVd625idFKmk6</v>
          </cell>
          <cell r="G76" t="str">
            <v>https://www.google.com/maps/dir/Catamarca+Sur+664,+San+Juan/Escuela+Juan+Mantovani,+Villa+General+San+Martin,+San+Juan/Catamarca+Sur+664,+San+Juan/@-31.4964261,-68.601825,19759m/data=!3m2!1e3!4b1!4m20!4m19!1m5!1m1!1s0x9681402690dd76eb:0x4b283f8fe10ce3f3!2m2!1d-68.5293761!2d-31.5426363!1m5!1m1!1s0x9681682ae023d839:0x2b200dd667c762d2!2m2!1d-68.5219807!2d-31.4381874!1m5!1m1!1s0x9681402690dd76eb:0x4b283f8fe10ce3f3!2m2!1d-68.5293761!2d-31.5426363!3e0?entry=ttu&amp;g_ep=EgoyMDI1MDgxMy4wIKXMDSoASAFQAw%3D%3D</v>
          </cell>
          <cell r="H76">
            <v>31.4</v>
          </cell>
        </row>
        <row r="77">
          <cell r="D77" t="str">
            <v>79G4V06</v>
          </cell>
          <cell r="E77" t="str">
            <v>Albardón</v>
          </cell>
          <cell r="F77" t="str">
            <v>https://maps.app.goo.gl/J527yLY5XUzSUn3X6</v>
          </cell>
          <cell r="G77" t="str">
            <v>https://www.google.com/maps/dir/Catamarca+Sur+664,+San+Juan/Escuela+Vice+Comodoro+Marambio,+Calle+Lozano+Villa+Lujan,+Albard%C3%B3n,+San+Juan/Catamarca+Sur+664,+San+Juan/@-31.489636,-68.5947226,19760m/data=!3m2!1e3!4b1!4m20!4m19!1m5!1m1!1s0x9681402690dd76eb:0x4b283f8fe10ce3f3!2m2!1d-68.5293761!2d-31.5426363!1m5!1m1!1s0x9681685028691ebf:0xb1be59564401711a!2m2!1d-68.4888861!2d-31.4248554!1m5!1m1!1s0x9681402690dd76eb:0x4b283f8fe10ce3f3!2m2!1d-68.5293761!2d-31.5426363!3e0?entry=ttu&amp;g_ep=EgoyMDI1MDgxMy4wIKXMDSoASAFQAw%3D%3D</v>
          </cell>
          <cell r="H77">
            <v>38.9</v>
          </cell>
        </row>
        <row r="78">
          <cell r="D78" t="str">
            <v>79G5VGF</v>
          </cell>
          <cell r="E78" t="str">
            <v>Albardón</v>
          </cell>
          <cell r="F78" t="str">
            <v>https://maps.app.goo.gl/J527yLY5XUzSUn3X6</v>
          </cell>
          <cell r="G78" t="str">
            <v>https://www.google.com/maps/dir/Catamarca+Sur+664,+San+Juan/Escuela+Vice+Comodoro+Marambio,+Calle+Lozano+Villa+Lujan,+Albard%C3%B3n,+San+Juan/Catamarca+Sur+664,+San+Juan/@-31.489636,-68.5947226,19760m/data=!3m2!1e3!4b1!4m20!4m19!1m5!1m1!1s0x9681402690dd76eb:0x4b283f8fe10ce3f3!2m2!1d-68.5293761!2d-31.5426363!1m5!1m1!1s0x9681685028691ebf:0xb1be59564401711a!2m2!1d-68.4888861!2d-31.4248554!1m5!1m1!1s0x9681402690dd76eb:0x4b283f8fe10ce3f3!2m2!1d-68.5293761!2d-31.5426363!3e0?entry=ttu&amp;g_ep=EgoyMDI1MDgxMy4wIKXMDSoASAFQAw%3D%3D</v>
          </cell>
          <cell r="H78">
            <v>38.9</v>
          </cell>
        </row>
        <row r="79">
          <cell r="D79" t="str">
            <v>79G2RY0</v>
          </cell>
          <cell r="E79" t="str">
            <v>Capital</v>
          </cell>
          <cell r="F79" t="str">
            <v>https://maps.app.goo.gl/igGQLiY3332RvWXC6</v>
          </cell>
          <cell r="G79"/>
          <cell r="H79"/>
        </row>
        <row r="80">
          <cell r="D80" t="str">
            <v>79G3HT3</v>
          </cell>
          <cell r="E80" t="str">
            <v>Capital</v>
          </cell>
          <cell r="F80" t="str">
            <v>https://maps.app.goo.gl/dzFTWxxs1UEhrmn26</v>
          </cell>
          <cell r="G80"/>
          <cell r="H80"/>
        </row>
        <row r="81">
          <cell r="D81" t="str">
            <v>79G6XGW</v>
          </cell>
          <cell r="E81" t="str">
            <v>Capital</v>
          </cell>
          <cell r="F81" t="str">
            <v>https://maps.app.goo.gl/nWPvwSmf4b4M8RVT7</v>
          </cell>
          <cell r="G81"/>
          <cell r="H81"/>
        </row>
        <row r="82">
          <cell r="D82" t="str">
            <v>793PG5G</v>
          </cell>
          <cell r="E82" t="str">
            <v>Caucete</v>
          </cell>
          <cell r="F82" t="str">
            <v>https://maps.app.goo.gl/EoRRRXh94EfyqreB6</v>
          </cell>
          <cell r="G82" t="str">
            <v>https://www.google.com/maps/dir/Catamarca+Sur+664,+San+Juan/Escuela+Obispo+Zapata,+Ruta+Provincial+227,+San+Juan/Catamarca+Sur+664,+San+Juan/@-31.6163192,-68.7043809,78933m/data=!3m1!1e3!4m20!4m19!1m5!1m1!1s0x9681402690dd76eb:0x4b283f8fe10ce3f3!2m2!1d-68.5293761!2d-31.5426363!1m5!1m1!1s0x9681061dea90e8f3:0x1c4334ba97fd3e47!2m2!1d-68.2220151!2d-31.692073!1m5!1m1!1s0x9681402690dd76eb:0x4b283f8fe10ce3f3!2m2!1d-68.5293761!2d-31.5426363!3e0?entry=ttu&amp;g_ep=EgoyMDI1MDgxMy4wIKXMDSoASAFQAw%3D%3D</v>
          </cell>
          <cell r="H82">
            <v>78.900000000000006</v>
          </cell>
        </row>
        <row r="83">
          <cell r="D83" t="str">
            <v>79G3BTP</v>
          </cell>
          <cell r="E83" t="str">
            <v>Caucete</v>
          </cell>
          <cell r="F83" t="str">
            <v>https://maps.app.goo.gl/1UC9Vny62umhYbWK7</v>
          </cell>
          <cell r="G83" t="str">
            <v>https://www.google.com/maps/dir/Catamarca+Sur+664,+San+Juan/Escuela+Hipolito+Vieytes,+Juan+Jos%C3%A9+Bustos,+Caucete,+San+Juan/Catamarca+Sur+664,+San+Juan/@-31.5881673,-68.482172,19739m/data=!3m2!1e3!4b1!4m20!4m19!1m5!1m1!1s0x9681402690dd76eb:0x4b283f8fe10ce3f3!2m2!1d-68.5293761!2d-31.5426363!1m5!1m1!1s0x96810f9abfe1b8d7:0x13223c4e8b1e5b9c!2m2!1d-68.2683786!2d-31.6279133!1m5!1m1!1s0x9681402690dd76eb:0x4b283f8fe10ce3f3!2m2!1d-68.5293761!2d-31.5426363!3e0?hl=es&amp;entry=ttu&amp;g_ep=EgoyMDI1MDgxMy4wIKXMDSoASAFQAw%3D%3D</v>
          </cell>
          <cell r="H83">
            <v>60.3</v>
          </cell>
        </row>
        <row r="84">
          <cell r="D84" t="str">
            <v>79G72C9</v>
          </cell>
          <cell r="E84" t="str">
            <v>Caucete</v>
          </cell>
          <cell r="F84" t="str">
            <v>https://maps.app.goo.gl/LSsKnSs6oCseoNYi6</v>
          </cell>
          <cell r="G84" t="str">
            <v>https://www.google.com/maps/dir/Catamarca+Sur+664,+San+Juan/Escuela+Andina,+RP270,+San+Juan/Catamarca+Sur+664,+San+Juan/@-31.6044052,-68.4906667,19736m/data=!3m1!1e3!4m20!4m19!1m5!1m1!1s0x9681402690dd76eb:0x4b283f8fe10ce3f3!2m2!1d-68.5293761!2d-31.5426363!1m5!1m1!1s0x96810faed43f7c13:0xae39ac1301cd4f83!2m2!1d-68.2924734!2d-31.667811!1m5!1m1!1s0x9681402690dd76eb:0x4b283f8fe10ce3f3!2m2!1d-68.5293761!2d-31.5426363!3e0?entry=ttu&amp;g_ep=EgoyMDI1MDgxMy4wIKXMDSoASAFQAw%3D%3D</v>
          </cell>
          <cell r="H84">
            <v>62.4</v>
          </cell>
        </row>
        <row r="85">
          <cell r="D85" t="str">
            <v>7946PF5</v>
          </cell>
          <cell r="E85" t="str">
            <v>25 de Mayo.</v>
          </cell>
          <cell r="F85" t="str">
            <v>https://maps.app.goo.gl/8Xo9j2cvMiBDuZY77</v>
          </cell>
          <cell r="G85" t="str">
            <v>https://www.google.com/maps/dir/Catamarca+Sur+664,+San+Juan/Escuela+Albergue+Dr.+Juan+Carlos+Navarro.,+Enc%C3%B3n,+San+Juan/Catamarca+Sur+664,+San+Juan/@-31.8767944,-68.8218637,157423m/data=!3m1!1e3!4m20!4m19!1m5!1m1!1s0x9681402690dd76eb:0x4b283f8fe10ce3f3!2m2!1d-68.5293761!2d-31.5426363!1m5!1m1!1s0x96806bda446959ff:0xc09d1026bac5d217!2m2!1d-67.794938!2d-32.2163394!1m5!1m1!1s0x9681402690dd76eb:0x4b283f8fe10ce3f3!2m2!1d-68.5293761!2d-31.5426363!3e0?entry=ttu&amp;g_ep=EgoyMDI1MDgxMy4wIKXMDSoASAFQAw%3D%3D</v>
          </cell>
          <cell r="H85">
            <v>231</v>
          </cell>
        </row>
        <row r="86">
          <cell r="D86" t="str">
            <v>79G4MMF</v>
          </cell>
          <cell r="E86" t="str">
            <v>25 de Mayo.</v>
          </cell>
          <cell r="F86" t="str">
            <v>https://maps.app.goo.gl/YE6Yxjuh8Z5uRX6BA</v>
          </cell>
          <cell r="G86" t="str">
            <v>https://www.google.com/maps/dir/Catamarca+Sur+664,+San+Juan/Escuela+Ramon+Barrera,+Calle+2,+San+Juan/Catamarca+Sur+664,+San+Juan/@-31.6346789,-68.5880256,39459m/data=!3m2!1e3!4b1!4m20!4m19!1m5!1m1!1s0x9681402690dd76eb:0x4b283f8fe10ce3f3!2m2!1d-68.5293761!2d-31.5426363!1m5!1m1!1s0x968105cdde872ae7:0x2c9ab9898678e3fc!2m2!1d-68.3152639!2d-31.7238029!1m5!1m1!1s0x9681402690dd76eb:0x4b283f8fe10ce3f3!2m2!1d-68.5293761!2d-31.5426363!3e0?entry=ttu&amp;g_ep=EgoyMDI1MDgxMy4wIKXMDSoASAFQAw%3D%3D</v>
          </cell>
          <cell r="H86">
            <v>69.3</v>
          </cell>
        </row>
        <row r="87">
          <cell r="D87" t="str">
            <v>79G2T44</v>
          </cell>
          <cell r="E87" t="str">
            <v>Caucete</v>
          </cell>
          <cell r="F87" t="str">
            <v>https://maps.app.goo.gl/LSsKnSs6oCseoNYi6</v>
          </cell>
          <cell r="G87" t="str">
            <v>https://www.google.com/maps/dir/Catamarca+Sur+664,+San+Juan/Escuela+Andina,+RP270,+San+Juan/Catamarca+Sur+664,+San+Juan/@-31.6044052,-68.4906667,19736m/data=!3m1!1e3!4m20!4m19!1m5!1m1!1s0x9681402690dd76eb:0x4b283f8fe10ce3f3!2m2!1d-68.5293761!2d-31.5426363!1m5!1m1!1s0x96810faed43f7c13:0xae39ac1301cd4f83!2m2!1d-68.2924734!2d-31.667811!1m5!1m1!1s0x9681402690dd76eb:0x4b283f8fe10ce3f3!2m2!1d-68.5293761!2d-31.5426363!3e0?entry=ttu&amp;g_ep=EgoyMDI1MDgxMy4wIKXMDSoASAFQAw%3D%3D</v>
          </cell>
          <cell r="H87">
            <v>62.4</v>
          </cell>
        </row>
        <row r="88">
          <cell r="D88" t="str">
            <v>SSSSS</v>
          </cell>
          <cell r="E88" t="str">
            <v>Caucete</v>
          </cell>
          <cell r="F88" t="str">
            <v>https://maps.google.com/maps?q=-31.6238491%2C-68.3134523&amp;z=17&amp;hl=es</v>
          </cell>
          <cell r="G88" t="str">
            <v>https://www.google.com/maps/dir/Catamarca+Sur+664,+San+Juan/Escuela+Pedro+Echag%C3%BCe,+Nueve+de+Julio,+San+Juan/Catamarca+Sur+664,+San+Juan/@-31.582907,-68.5020374,19740m/data=!3m1!1e3!4m20!4m19!1m5!1m1!1s0x9681402690dd76eb:0x4b283f8fe10ce3f3!2m2!1d-68.5293761!2d-31.5426363!1m5!1m1!1s0x96810e0b6db41403:0x17770da403a7d594!2m2!1d-68.3132683!2d-31.6239324!1m5!1m1!1s0x9681402690dd76eb:0x4b283f8fe10ce3f3!2m2!1d-68.5293761!2d-31.5426363!3e0?hl=es&amp;entry=ttu&amp;g_ep=EgoyMDI1MDgxMy4wIKXMDSoASAFQAw%3D%3D</v>
          </cell>
          <cell r="H88">
            <v>51.6</v>
          </cell>
        </row>
        <row r="89">
          <cell r="D89" t="str">
            <v>79G4MM1</v>
          </cell>
          <cell r="E89" t="str">
            <v>Caucete</v>
          </cell>
          <cell r="F89" t="str">
            <v>https://maps.app.goo.gl/myT3Y8ngdbnAFaiM7</v>
          </cell>
          <cell r="G89" t="str">
            <v>https://www.google.com/maps/dir/Catamarca+Sur+664,+San+Juan/Arturo+Beruti,+San+Lorenzo,+Pie+de+Palo,+San+Juan/Catamarca+Sur+664,+San+Juan/@-31.6020166,-68.7043809,78946m/data=!3m1!1e3!4m20!4m19!1m5!1m1!1s0x9681402690dd76eb:0x4b283f8fe10ce3f3!2m2!1d-68.5293761!2d-31.5426363!1m5!1m1!1s0x968108c4048687cb:0x8fa8783c5d1d79f5!2m2!1d-68.2209133!2d-31.663356!1m5!1m1!1s0x9681402690dd76eb:0x4b283f8fe10ce3f3!2m2!1d-68.5293761!2d-31.5426363!3e0?entry=ttu&amp;g_ep=EgoyMDI1MDgxMy4wIKXMDSoASAFQAw%3D%3D</v>
          </cell>
          <cell r="H89">
            <v>71.599999999999994</v>
          </cell>
        </row>
        <row r="90">
          <cell r="D90" t="str">
            <v>793G8GF</v>
          </cell>
          <cell r="E90" t="str">
            <v>POZO SALADO</v>
          </cell>
          <cell r="F90" t="str">
            <v>https://maps.app.goo.gl/1pREMi9RmYoDx9ah6</v>
          </cell>
          <cell r="G90" t="str">
            <v>https://www.google.com/maps/dir/Catamarca+Sur+664,+San+Juan/Escuela+Martin+Yanzon,+RP259,+San+Juan/Catamarca+Sur+664,+San+Juan/@-31.6496572,-68.5549181,39453m/data=!3m2!1e3!4b1!4m20!4m19!1m5!1m1!1s0x9681402690dd76eb:0x4b283f8fe10ce3f3!2m2!1d-68.5293761!2d-31.5426363!1m5!1m1!1s0x968104225e2f08ad:0xb46cf965e83edd7f!2m2!1d-68.2490734!2d-31.7586138!1m5!1m1!1s0x9681402690dd76eb:0x4b283f8fe10ce3f3!2m2!1d-68.5293761!2d-31.5426363!3e0?entry=ttu&amp;g_ep=EgoyMDI1MDgxMy4wIKXMDSoASAFQAw%3D%3D</v>
          </cell>
          <cell r="H90">
            <v>85.2</v>
          </cell>
        </row>
        <row r="91">
          <cell r="D91" t="str">
            <v>79G321P</v>
          </cell>
          <cell r="E91" t="str">
            <v>POZO SALADO</v>
          </cell>
          <cell r="F91" t="str">
            <v>https://maps.app.goo.gl/1pREMi9RmYoDx9ah6</v>
          </cell>
          <cell r="G91" t="str">
            <v>https://www.google.com/maps/dir/Catamarca+Sur+664,+San+Juan/Escuela+Martin+Yanzon,+RP259,+San+Juan/Catamarca+Sur+664,+San+Juan/@-31.6496572,-68.5549181,39453m/data=!3m2!1e3!4b1!4m20!4m19!1m5!1m1!1s0x9681402690dd76eb:0x4b283f8fe10ce3f3!2m2!1d-68.5293761!2d-31.5426363!1m5!1m1!1s0x968104225e2f08ad:0xb46cf965e83edd7f!2m2!1d-68.2490734!2d-31.7586138!1m5!1m1!1s0x9681402690dd76eb:0x4b283f8fe10ce3f3!2m2!1d-68.5293761!2d-31.5426363!3e0?entry=ttu&amp;g_ep=EgoyMDI1MDgxMy4wIKXMDSoASAFQAw%3D%3D</v>
          </cell>
          <cell r="H91">
            <v>85.2</v>
          </cell>
        </row>
        <row r="92">
          <cell r="D92" t="str">
            <v>79G2RWL</v>
          </cell>
          <cell r="E92" t="str">
            <v>25 de Mayo.</v>
          </cell>
          <cell r="F92" t="str">
            <v>https://maps.app.goo.gl/2x9BuFwVK6YoY9kM8</v>
          </cell>
          <cell r="G92" t="str">
            <v>https://www.google.com/maps/dir/Catamarca+Sur+664,+San+Juan/Escuela+Comandante+Tomas+Espora,+RP246,+Villa+Santa+Rosa,+San+Juan/Catamarca+Sur+664,+San+Juan/@-31.6527503,-68.5975217,39451m/data=!3m2!1e3!4b1!4m20!4m19!1m5!1m1!1s0x9681402690dd76eb:0x4b283f8fe10ce3f3!2m2!1d-68.5293761!2d-31.5426363!1m5!1m1!1s0x96811b2fa270f9b9:0x1115512a750ea170!2m2!1d-68.3438575!2d-31.7649086!1m5!1m1!1s0x9681402690dd76eb:0x4b283f8fe10ce3f3!2m2!1d-68.5293761!2d-31.5426363!3e0?hl=es&amp;entry=ttu&amp;g_ep=EgoyMDI1MDgxMy4wIKXMDSoASAFQAw%3D%3D</v>
          </cell>
          <cell r="H92">
            <v>73.400000000000006</v>
          </cell>
        </row>
        <row r="93">
          <cell r="D93" t="str">
            <v>79G3HRZ</v>
          </cell>
          <cell r="E93" t="str">
            <v>25 de Mayo.</v>
          </cell>
          <cell r="F93" t="str">
            <v>https://maps.app.goo.gl/3WuuKzR4S2S7U39m6</v>
          </cell>
          <cell r="G93" t="str">
            <v>https://www.google.com/maps/dir/Catamarca+Sur+664,+San+Juan/Escuela+Segundino+J.+Navarro,+Villa+Santa+Rosa,+San+Juan/Catamarca+Sur+664,+San+Juan/@-31.6417922,-68.584671,39456m/data=!3m2!1e3!4b1!4m20!4m19!1m5!1m1!1s0x9681402690dd76eb:0x4b283f8fe10ce3f3!2m2!1d-68.5293761!2d-31.5426363!1m5!1m1!1s0x96810523b1d1586f:0x5d7edaa467960a57!2m2!1d-68.3135955!2d-31.7430561!1m5!1m1!1s0x9681402690dd76eb:0x4b283f8fe10ce3f3!2m2!1d-68.5293761!2d-31.5426363!3e0?entry=ttu&amp;g_ep=EgoyMDI1MDgxMy4wIKXMDSoASAFQAw%3D%3D</v>
          </cell>
          <cell r="H93">
            <v>72.5</v>
          </cell>
        </row>
        <row r="94">
          <cell r="D94" t="str">
            <v>79G5RMB</v>
          </cell>
          <cell r="E94" t="str">
            <v>25 de Mayo.</v>
          </cell>
          <cell r="F94" t="str">
            <v>https://maps.app.goo.gl/Hq33ZRdj8eaKPdyz7</v>
          </cell>
          <cell r="G94" t="str">
            <v>https://www.google.com/maps/dir/Catamarca+Sur+664,+San+Juan/Escuela+Pascual+Chena,+San+Juan/Catamarca+Sur+664,+San+Juan/@-31.6365132,-68.5636649,39458m/data=!3m2!1e3!4b1!4m20!4m19!1m5!1m1!1s0x9681402690dd76eb:0x4b283f8fe10ce3f3!2m2!1d-68.5293761!2d-31.5426363!1m5!1m1!1s0x9681054e31f6cddb:0xcdc2566e4ab58e61!2m2!1d-68.266628!2d-31.7324954!1m5!1m1!1s0x9681402690dd76eb:0x4b283f8fe10ce3f3!2m2!1d-68.5293761!2d-31.5426363!3e0?entry=ttu&amp;g_ep=EgoyMDI1MDgxMy4wIKXMDSoASAFQAw%3D%3D</v>
          </cell>
          <cell r="H94">
            <v>78.400000000000006</v>
          </cell>
        </row>
        <row r="95">
          <cell r="D95" t="str">
            <v>79G5RLW</v>
          </cell>
          <cell r="E95" t="str">
            <v>25 de Mayo.</v>
          </cell>
          <cell r="F95" t="str">
            <v>https://maps.app.goo.gl/DRZQ8BmVRtuFDAhXA</v>
          </cell>
          <cell r="G95" t="str">
            <v>https://www.google.com/maps/dir/Catamarca+Sur+664,+San+Juan/Bartolome+Del+Bono,+San+Juan/Catamarca+Sur+664,+San+Juan/@-31.6818845,-68.5761041,39439m/data=!3m2!1e3!4b1!4m20!4m19!1m5!1m1!1s0x9681402690dd76eb:0x4b283f8fe10ce3f3!2m2!1d-68.5293761!2d-31.5426363!1m5!1m1!1s0x968103060f9848d7:0x45a04d443e384ee!2m2!1d-68.2915943!2d-31.8232407!1m5!1m1!1s0x9681402690dd76eb:0x4b283f8fe10ce3f3!2m2!1d-68.5293761!2d-31.5426363!3e0?entry=ttu&amp;g_ep=EgoyMDI1MDgxMy4wIKXMDSoASAFQAw%3D%3D</v>
          </cell>
          <cell r="H95">
            <v>96.1</v>
          </cell>
        </row>
        <row r="96">
          <cell r="D96" t="str">
            <v>79G19VW</v>
          </cell>
          <cell r="E96" t="str">
            <v>Caucete</v>
          </cell>
          <cell r="F96" t="str">
            <v>https://maps.app.goo.gl/ysmsdvw12Ed2c6io8</v>
          </cell>
          <cell r="G96" t="str">
            <v>https://www.google.com/maps/dir/Catamarca+Sur+664,+San+Juan/Escuela+Republica+Argentina,+Bermejo,+San+Juan/Catamarca+Sur+664,+San+Juan/@-31.6496403,-68.4253929,78905m/data=!3m2!1e3!4b1!4m20!4m19!1m5!1m1!1s0x9681402690dd76eb:0x4b283f8fe10ce3f3!2m2!1d-68.5293761!2d-31.5426363!1m5!1m1!1s0x9681c5f795ca8f3b:0x5d058fe831ecd61d!2m2!1d-67.6605193!2d-31.5890751!1m5!1m1!1s0x9681402690dd76eb:0x4b283f8fe10ce3f3!2m2!1d-68.5293761!2d-31.5426363!3e0?entry=ttu&amp;g_ep=EgoyMDI1MDgxMy4wIKXMDSoASAFQAw%3D%3D</v>
          </cell>
          <cell r="H96">
            <v>207</v>
          </cell>
        </row>
        <row r="97">
          <cell r="D97" t="str">
            <v>793PZG7</v>
          </cell>
          <cell r="E97" t="str">
            <v>25 de Mayo.</v>
          </cell>
          <cell r="F97" t="str">
            <v>https://maps.app.goo.gl/jZTWLSPLCDWoJbuNA</v>
          </cell>
          <cell r="G97" t="str">
            <v>https://www.google.com/maps/dir/Catamarca+Sur+664,+San+Juan/Escuela+Juan+Ignacio+Gorriti,+San+Juan/Catamarca+Sur+664,+San+Juan/@-31.6854951,-68.5270013,39437m/data=!3m2!1e3!4b1!4m20!4m19!1m5!1m1!1s0x9681402690dd76eb:0x4b283f8fe10ce3f3!2m2!1d-68.5293761!2d-31.5426363!1m5!1m1!1s0x968101a1ad6df103:0xca680ba030b56b53!2m2!1d-68.2260848!2d-31.8302461!1m5!1m1!1s0x9681402690dd76eb:0x4b283f8fe10ce3f3!2m2!1d-68.5293761!2d-31.5426363!3e0?entry=ttu&amp;g_ep=EgoyMDI1MDgxMy4wIKXMDSoASAFQAw%3D%3D</v>
          </cell>
          <cell r="H97">
            <v>111</v>
          </cell>
        </row>
        <row r="98">
          <cell r="D98" t="str">
            <v>793H5M7</v>
          </cell>
          <cell r="E98" t="str">
            <v>Rawson</v>
          </cell>
          <cell r="F98" t="str">
            <v>https://maps.app.goo.gl/agSbWzvqRTWYE8Tr9</v>
          </cell>
          <cell r="G98" t="str">
            <v>https://www.google.com/maps/dir/Catamarca+Sur+664,+San+Juan/Escuela+Saturnino+Sarassa,+J+Celman+Oeste+235,+San+Juan/Catamarca+Sur+664,+San+Juan/@-31.5558851,-68.5653568,4937m/data=!3m2!1e3!4b1!4m20!4m19!1m5!1m1!1s0x9681402690dd76eb:0x4b283f8fe10ce3f3!2m2!1d-68.5293761!2d-31.5426363!1m5!1m1!1s0x9681169555555555:0x9e5bd2cf3d3fc1d9!2m2!1d-68.5614526!2d-31.5667798!1m5!1m1!1s0x9681402690dd76eb:0x4b283f8fe10ce3f3!2m2!1d-68.5293761!2d-31.5426363!3e0?entry=ttu&amp;g_ep=EgoyMDI1MDgxMy4wIKXMDSoASAFQAw%3D%3D</v>
          </cell>
          <cell r="H98">
            <v>11.1</v>
          </cell>
        </row>
        <row r="99">
          <cell r="D99" t="str">
            <v>ZELLBJFJA0003HR</v>
          </cell>
          <cell r="E99" t="str">
            <v>Inicial</v>
          </cell>
          <cell r="F99" t="str">
            <v>https://maps.app.goo.gl/N9yHu6FMhbSapzVu6</v>
          </cell>
          <cell r="G99" t="str">
            <v>https://www.google.com/maps/dir/Catamarca+Sur+664,+San+Juan/ENI+26+TAYNEMTA,+J5425+Villa+Krause,+San+Juan/Catamarca+Sur+664,+San+Juan/@-31.5558851,-68.5649778,4937m/data=!3m2!1e3!4b1!4m20!4m19!1m5!1m1!1s0x9681402690dd76eb:0x4b283f8fe10ce3f3!2m2!1d-68.5293761!2d-31.5426363!1m5!1m1!1s0x9681413863fb1749:0x66b28aede02b37e6!2m2!1d-68.5607065!2d-31.567339!1m5!1m1!1s0x9681402690dd76eb:0x4b283f8fe10ce3f3!2m2!1d-68.5293761!2d-31.5426363!3e0?entry=ttu&amp;g_ep=EgoyMDI1MDgxMy4wIKXMDSoASAFQAw%3D%3D</v>
          </cell>
          <cell r="H99">
            <v>11.3</v>
          </cell>
        </row>
        <row r="100">
          <cell r="D100" t="str">
            <v>793PG67</v>
          </cell>
          <cell r="E100" t="str">
            <v>Sarmiento</v>
          </cell>
          <cell r="F100" t="str">
            <v>https://maps.app.goo.gl/hU9kjD7TPYi9Ht35A</v>
          </cell>
          <cell r="G100" t="str">
            <v>https://www.google.com/maps/dir/Catamarca+Sur+664,+J5402GSN+San+Juan/Escuela+Primaria+Periodista+Luis+Jorge+Bates,+Belgrano,+Media+Agua,+San+Juan/Catamarca+Sur+664,+San+Juan/@-31.7606188,-68.8231356,78811m/data=!3m2!1e3!4b1!4m20!4m19!1m5!1m1!1s0x9681402690dd76eb:0x4b283f8fe10ce3f3!2m2!1d-68.5293761!2d-31.5426363!1m5!1m1!1s0x9680e38aa42011e7:0xa8bba01a49f01658!2m2!1d-68.4269645!2d-31.9819263!1m5!1m1!1s0x9681402690dd76eb:0x4b283f8fe10ce3f3!2m2!1d-68.5293761!2d-31.5426363!3e0?entry=ttu&amp;g_ep=EgoyMDI1MDgxMy4wIKXMDSoASAFQAw%3D%3D</v>
          </cell>
          <cell r="H100">
            <v>111</v>
          </cell>
        </row>
        <row r="101">
          <cell r="D101" t="str">
            <v>7945BDL</v>
          </cell>
          <cell r="E101" t="str">
            <v>Sarmiento</v>
          </cell>
          <cell r="F101" t="str">
            <v>https://maps.app.goo.gl/yaRxKUxTUGSWAXTo6</v>
          </cell>
          <cell r="G101" t="str">
            <v>https://www.google.com/maps/dir/Catamarca+Sur+664,+J5402GSN+San+Juan/Escuela+Victorina+Lenoir+de+Navarro,+Media+Agua,+San+Juan/Catamarca+Sur+664,+San+Juan/@-31.7611468,-68.8237757,78810m/data=!3m2!1e3!4b1!4m20!4m19!1m5!1m1!1s0x9681402690dd76eb:0x4b283f8fe10ce3f3!2m2!1d-68.5293761!2d-31.5426363!1m5!1m1!1s0x9680e3fe0c8fadc7:0xa7e809e6d97a9f29!2m2!1d-68.427624!2d-31.9823428!1m5!1m1!1s0x9681402690dd76eb:0x4b283f8fe10ce3f3!2m2!1d-68.5293761!2d-31.5426363!3e0?entry=ttu&amp;g_ep=EgoyMDI1MDgxMy4wIKXMDSoASAFQAw%3D%3D</v>
          </cell>
          <cell r="H101">
            <v>111</v>
          </cell>
        </row>
        <row r="102">
          <cell r="D102" t="str">
            <v>79G2RXB</v>
          </cell>
          <cell r="E102" t="str">
            <v>San Martín</v>
          </cell>
          <cell r="F102" t="str">
            <v>https://maps.app.goo.gl/iRgenJpEMDh392j8A</v>
          </cell>
          <cell r="G102" t="str">
            <v>https://www.google.com/maps/dir/Catamarca+Sur+664,+J5402GSN+San+Juan/Escuela+Rep%C3%BAblica+Del+Per%C3%BA,+Calle+Belgrano,+Villa+San+Isidro,+San+Juan/Catamarca+Sur+664,+San+Juan/@-31.5356145,-68.5297437,19750m/data=!3m2!1e3!4b1!4m20!4m19!1m5!1m1!1s0x9681402690dd76eb:0x4b283f8fe10ce3f3!2m2!1d-68.5293761!2d-31.5426363!1m5!1m1!1s0x96816d2617b36fbb:0x268d80a14e295344!2m2!1d-68.3670881!2d-31.5014779!1m5!1m1!1s0x9681402690dd76eb:0x4b283f8fe10ce3f3!2m2!1d-68.5293761!2d-31.5426363!3e0?entry=ttu&amp;g_ep=EgoyMDI1MDgxMy4wIKXMDSoASAFQAw%3D%3D</v>
          </cell>
          <cell r="H102">
            <v>46.5</v>
          </cell>
        </row>
        <row r="103">
          <cell r="D103" t="str">
            <v>79G1C3D</v>
          </cell>
          <cell r="E103" t="str">
            <v>Caucete</v>
          </cell>
          <cell r="F103" t="str">
            <v>https://maps.app.goo.gl/nGGiLBdiP1KFYPhQA</v>
          </cell>
          <cell r="G103" t="str">
            <v>https://www.google.com/maps/dir/Catamarca+Sur+664,+San+Juan/Escuela+Rep%C3%BAblica+del+Paraguay,+Accesso+Difunta+Correa,+Vallecito,+San+Juan/Catamarca+Sur+664,+San+Juan/@-31.650225,-68.5866324,78905m/data=!3m1!1e3!4m20!4m19!1m5!1m1!1s0x9681402690dd76eb:0x4b283f8fe10ce3f3!2m2!1d-68.5293761!2d-31.5426363!1m5!1m1!1s0x9681add8ee7abf53:0x4c8cb4d77394882!2m2!1d-67.9842616!2d-31.7365004!1m5!1m1!1s0x9681402690dd76eb:0x4b283f8fe10ce3f3!2m2!1d-68.5293761!2d-31.5426363!3e0?entry=ttu&amp;g_ep=EgoyMDI1MDgxMy4wIKXMDSoASAFQAw%3D%3D</v>
          </cell>
          <cell r="H103">
            <v>128</v>
          </cell>
        </row>
        <row r="104">
          <cell r="D104" t="str">
            <v>79G3F8W</v>
          </cell>
          <cell r="E104" t="str">
            <v>9 de Julio.</v>
          </cell>
          <cell r="F104" t="str">
            <v>https://maps.app.goo.gl/SnkzJ1qADNnTf7LE8</v>
          </cell>
          <cell r="G104" t="str">
            <v>https://www.google.com/maps/dir/Catamarca+Sur+664,+San+Juan/Escuela+Dr.+Luis+Agote,+Nueve+de+Julio,+San+Juan/Catamarca+Sur+664,+San+Juan/@-31.5675666,-68.5110686,9872m/data=!3m2!1e3!4b1!4m20!4m19!1m5!1m1!1s0x9681402690dd76eb:0x4b283f8fe10ce3f3!2m2!1d-68.5293761!2d-31.5426363!1m5!1m1!1s0x9681135bd23f119f:0xf4f5be61ec24ccf6!2m2!1d-68.4113758!2d-31.5916694!1m5!1m1!1s0x9681402690dd76eb:0x4b283f8fe10ce3f3!2m2!1d-68.5293761!2d-31.5426363!3e0?entry=ttu&amp;g_ep=EgoyMDI1MDgxMy4wIKXMDSoASAFQAw%3D%3D</v>
          </cell>
          <cell r="H104">
            <v>29.4</v>
          </cell>
        </row>
        <row r="105">
          <cell r="D105" t="str">
            <v>79G60BH</v>
          </cell>
          <cell r="E105" t="str">
            <v>Caucete</v>
          </cell>
          <cell r="F105" t="str">
            <v>https://maps.app.goo.gl/njprXQQxzUMUd1FEA</v>
          </cell>
          <cell r="G105" t="str">
            <v>https://www.google.com/maps/dir/Catamarca+Sur+664,+San+Juan/Escuela+Secundaria+Dr.+Saturnino+Salas,+El+Rinc%C3%B3n,+Caucete,+San+Juan/Catamarca+Sur+664,+San+Juan/@-31.6056246,-68.5027676,19736m/data=!3m2!1e3!4b1!4m20!4m19!1m5!1m1!1s0x9681402690dd76eb:0x4b283f8fe10ce3f3!2m2!1d-68.5293761!2d-31.5426363!1m5!1m1!1s0x96810f0fe4f99693:0xd38e2d0073a9d4ee!2m2!1d-68.3185158!2d-31.669672!1m5!1m1!1s0x9681402690dd76eb:0x4b283f8fe10ce3f3!2m2!1d-68.5293761!2d-31.5426363!3e0?entry=ttu&amp;g_ep=EgoyMDI1MDgxMy4wIKXMDSoASAFQAw%3D%3D</v>
          </cell>
          <cell r="H105">
            <v>61.9</v>
          </cell>
        </row>
        <row r="106">
          <cell r="D106" t="str">
            <v>79G1G50</v>
          </cell>
          <cell r="E106" t="str">
            <v>Capital</v>
          </cell>
          <cell r="F106" t="str">
            <v>https://maps.app.goo.gl/fEmG7gEEB9gZB3xq5</v>
          </cell>
          <cell r="G106" t="str">
            <v>https://www.google.com/maps/dir/Catamarca+Sur+664,+San+Juan/Secundaria+9+de+Julio,+Paraguay+Este+825+849,+J5400+San+Juan/@-31.5328021,-68.5332347,2469m/data=!3m2!1e3!4b1!4m14!4m13!1m5!1m1!1s0x9681402690dd76eb:0x4b283f8fe10ce3f3!2m2!1d-68.5293761!2d-31.5426363!1m5!1m1!1s0x96816a7d7aaa4f8b:0xd3ec36d40e10f02f!2m2!1d-68.5151563!2d-31.524651!3e0?entry=ttu&amp;g_ep=EgoyMDI1MDYyOS4wIKXMDSoASAFQAw%3D%3D</v>
          </cell>
          <cell r="H106">
            <v>7</v>
          </cell>
        </row>
        <row r="107">
          <cell r="D107" t="str">
            <v>79G1DY1</v>
          </cell>
          <cell r="E107" t="str">
            <v>Capital</v>
          </cell>
          <cell r="F107" t="str">
            <v>https://maps.google.com/maps?q=-31.5248654%2C-68.5146322&amp;z=17&amp;hl=es</v>
          </cell>
          <cell r="G107" t="str">
            <v>https://www.google.com/maps/dir/Catamarca+Sur+664,+San+Juan/Secundaria+9+de+Julio,+Paraguay+Este+825+849,+J5400+San+Juan/@-31.5328021,-68.5332347,2469m/data=!3m2!1e3!4b1!4m14!4m13!1m5!1m1!1s0x9681402690dd76eb:0x4b283f8fe10ce3f3!2m2!1d-68.5293761!2d-31.5426363!1m5!1m1!1s0x96816a7d7aaa4f8b:0xd3ec36d40e10f02f!2m2!1d-68.5151563!2d-31.524651!3e0?hl=es&amp;entry=ttu&amp;g_ep=EgoyMDI1MDYyOS4wIKXMDSoASAFQAw%3D%3D</v>
          </cell>
          <cell r="H107">
            <v>7</v>
          </cell>
        </row>
        <row r="108">
          <cell r="D108" t="str">
            <v>79G1328</v>
          </cell>
          <cell r="E108" t="str">
            <v>Capital</v>
          </cell>
          <cell r="F108" t="str">
            <v>https://maps.app.goo.gl/dtpm1GuPTZjRdZ186</v>
          </cell>
          <cell r="G108" t="str">
            <v>https://www.google.com/maps/dir/Catamarca+Sur+664,+San+Juan/E.N.I.+N%C2%BA+47,+J5400+San+Juan/@-31.5251206,-68.544867,4938m/data=!3m2!1e3!4b1!4m14!4m13!1m5!1m1!1s0x9681402690dd76eb:0x4b283f8fe10ce3f3!2m2!1d-68.5293761!2d-31.5426363!1m5!1m1!1s0x96816a6df61fc955:0x6f196967b0e55bbd!2m2!1d-68.5127847!2d-31.5076661!3e0?entry=ttu&amp;g_ep=EgoyMDI1MDYyOS4wIKXMDSoASAFQAw%3D%3D</v>
          </cell>
          <cell r="H108">
            <v>13</v>
          </cell>
        </row>
        <row r="109">
          <cell r="D109" t="str">
            <v>793PG58</v>
          </cell>
          <cell r="E109" t="str">
            <v>Capital</v>
          </cell>
          <cell r="F109" t="str">
            <v>https://maps.app.goo.gl/mnAf8f54YAS9McpC6</v>
          </cell>
          <cell r="G109" t="str">
            <v>https://www.google.com/maps/dir/Catamarca+Sur+664,+San+Juan/Colegio+Provincial+De+La+Capital,+y,+Av.+Espa%C3%B1a+Sur,+J5402+San+Juan/@-31.5480585,-68.5389348,2468m/data=!3m2!1e3!4b1!4m14!4m13!1m5!1m1!1s0x9681402690dd76eb:0x4b283f8fe10ce3f3!2m2!1d-68.5293761!2d-31.5426363!1m5!1m1!1s0x96814018f0243eaf:0x8153012404ea9305!2m2!1d-68.5327243!2d-31.5524219!3e0?entry=ttu&amp;g_ep=EgoyMDI1MDYyOS4wIKXMDSoASAFQAw%3D%3D</v>
          </cell>
          <cell r="H109">
            <v>6</v>
          </cell>
        </row>
        <row r="110">
          <cell r="D110" t="str">
            <v>793PZH4</v>
          </cell>
          <cell r="E110" t="str">
            <v>Capital</v>
          </cell>
          <cell r="F110" t="str">
            <v>https://maps.app.goo.gl/1gha9fu4BjPj4G3n7</v>
          </cell>
          <cell r="G110" t="str">
            <v>https://www.google.com/maps/dir/Catamarca+Sur+664,+San+Juan/Escuela+Campa%C3%B1a+Del+Desierto,+Virgen+de+Lourdes+Oeste,+Perito+Moreno+Nte.+%26,+San+Juan/Catamarca+Sur+664,+San+Juan/@-31.5349888,-68.5642218,4938m/data=!3m2!1e3!4b1!4m20!4m19!1m5!1m1!1s0x9681402690dd76eb:0x4b283f8fe10ce3f3!2m2!1d-68.5293761!2d-31.5426363!1m5!1m1!1s0x968141ba22084fc3:0xdd8686ca2302f7ef!2m2!1d-68.5547699!2d-31.5146031!1m5!1m1!1s0x9681402690dd76eb:0x4b283f8fe10ce3f3!2m2!1d-68.5293761!2d-31.5426363!3e0?entry=ttu&amp;g_ep=EgoyMDI1MDgxMy4wIKXMDSoASAFQAw%3D%3D</v>
          </cell>
          <cell r="H110">
            <v>12.9</v>
          </cell>
        </row>
        <row r="111">
          <cell r="D111" t="str">
            <v>79G1C02</v>
          </cell>
          <cell r="E111" t="str">
            <v>San Martín</v>
          </cell>
          <cell r="F111" t="str">
            <v>https://maps.app.goo.gl/zbK1JJPu7S3wg6n28</v>
          </cell>
          <cell r="G111" t="str">
            <v>https://www.google.com/maps/dir/Catamarca+Sur+664,+J5402GSN+San+Juan/Escuela+Provincia+de+Neuqu%C3%A9n,+San+Juan/Catamarca+Sur+664,+San+Juan/@-31.5190993,-68.5164073,9877m/data=!3m2!1e3!4b1!4m20!4m19!1m5!1m1!1s0x9681402690dd76eb:0x4b283f8fe10ce3f3!2m2!1d-68.5293761!2d-31.5426363!1m5!1m1!1s0x96816dc5f8246ea7:0xd43a86f488749db0!2m2!1d-68.4153889!2d-31.4871005!1m5!1m1!1s0x9681402690dd76eb:0x4b283f8fe10ce3f3!2m2!1d-68.5293761!2d-31.5426363!3e0?entry=ttu&amp;g_ep=EgoyMDI1MDgxMy4wIKXMDSoASAFQAw%3D%3D</v>
          </cell>
          <cell r="H111">
            <v>38.799999999999997</v>
          </cell>
        </row>
        <row r="112">
          <cell r="D112" t="str">
            <v>79G3PYV</v>
          </cell>
          <cell r="E112" t="str">
            <v>Raeson</v>
          </cell>
          <cell r="F112" t="str">
            <v>https://maps.app.goo.gl/L2utjvkYhpkmZYFM6</v>
          </cell>
          <cell r="G112"/>
          <cell r="H112"/>
        </row>
        <row r="113">
          <cell r="D113" t="str">
            <v>793H5K4</v>
          </cell>
          <cell r="E113" t="str">
            <v>Rawson</v>
          </cell>
          <cell r="F113" t="str">
            <v>https://maps.app.goo.gl/25hZgBTuVM9LYTFm8</v>
          </cell>
          <cell r="G113"/>
          <cell r="H113"/>
        </row>
        <row r="114">
          <cell r="D114" t="str">
            <v>79G1CGV</v>
          </cell>
          <cell r="E114" t="str">
            <v>Rawson</v>
          </cell>
          <cell r="F114" t="str">
            <v>https://maps.app.goo.gl/AX4qbVrR4jVAfZbg9</v>
          </cell>
          <cell r="G114"/>
          <cell r="H114"/>
        </row>
        <row r="115">
          <cell r="D115" t="str">
            <v>79G2T36</v>
          </cell>
          <cell r="E115" t="str">
            <v>Rawson</v>
          </cell>
          <cell r="F115" t="str">
            <v>https://maps.app.goo.gl/V85zUZ8u17yYmmSW6</v>
          </cell>
          <cell r="G115" t="str">
            <v>https://www.google.com/maps/dir/Catamarca+Sur+664,+San+Juan/Escuela+Cecilio+%C3%81vila,+RP5+1811,+J5425+San+Juan/Catamarca+Sur+664,+San+Juan/@-31.5515182,-68.5305942,2468m/data=!3m2!1e3!4b1!4m20!4m19!1m5!1m1!1s0x9681402690dd76eb:0x4b283f8fe10ce3f3!2m2!1d-68.5293761!2d-31.5426363!1m5!1m1!1s0x96816ab17ee1e9cf:0xdf9e32f2bb65c1da!2m2!1d-68.5094279!2d-31.5616327!1m5!1m1!1s0x9681402690dd76eb:0x4b283f8fe10ce3f3!2m2!1d-68.5293761!2d-31.5426363!3e0?entry=ttu&amp;g_ep=EgoyMDI1MDgxMy4wIKXMDSoASAFQAw%3D%3D</v>
          </cell>
          <cell r="H115">
            <v>7.6</v>
          </cell>
        </row>
        <row r="116">
          <cell r="D116" t="str">
            <v>79G1BZT</v>
          </cell>
          <cell r="E116" t="str">
            <v>Rawson</v>
          </cell>
          <cell r="F116" t="str">
            <v>https://maps.app.goo.gl/ZMhjMKjVBFbejgsV6</v>
          </cell>
          <cell r="G116" t="str">
            <v>https://www.google.com/maps/dir/Catamarca+Sur+664,+J5402GSN+San+Juan/Escuela+Presidente+Sarmiento,+Estrada+Jose+Manuel,+Medano+de+Oro,+San+Juan/Catamarca+Sur+664,+San+Juan/@-31.5848037,-68.5853369,19740m/data=!3m1!1e3!4m20!4m19!1m5!1m1!1s0x9681402690dd76eb:0x4b283f8fe10ce3f3!2m2!1d-68.5293761!2d-31.5426363!1m5!1m1!1s0x968115ca6ebbe493:0xe33d3a1fae26d689!2m2!1d-68.4813156!2d-31.6285934!1m5!1m1!1s0x9681402690dd76eb:0x4b283f8fe10ce3f3!2m2!1d-68.5293761!2d-31.5426363!3e0?entry=ttu&amp;g_ep=EgoyMDI1MDgxMy4wIKXMDSoASAFQAw%3D%3D</v>
          </cell>
          <cell r="H116">
            <v>25.6</v>
          </cell>
        </row>
        <row r="117">
          <cell r="D117" t="str">
            <v>793PZHV</v>
          </cell>
          <cell r="E117" t="str">
            <v>Albardón</v>
          </cell>
          <cell r="F117" t="str">
            <v>https://maps.app.goo.gl/reGwNH8yPvYNHrCd7</v>
          </cell>
          <cell r="G117" t="str">
            <v>https://www.google.com/maps/dir/Catamarca+Sur+664,+San+Juan/Escuela+Camilo+Rojo,+Nacional,+Albard%C3%B3n,+San+Juan/Catamarca+Sur+664,+San+Juan/@-31.4917487,-68.601825,19760m/data=!3m2!1e3!4b1!4m20!4m19!1m5!1m1!1s0x9681402690dd76eb:0x4b283f8fe10ce3f3!2m2!1d-68.5293761!2d-31.5426363!1m5!1m1!1s0x96816830466dc90f:0x97d12f541d262eb2!2m2!1d-68.5107267!2d-31.4288377!1m5!1m1!1s0x9681402690dd76eb:0x4b283f8fe10ce3f3!2m2!1d-68.5293761!2d-31.5426363!3e0?entry=ttu&amp;g_ep=EgoyMDI1MDgxMy4wIKXMDSoASAFQAw%3D%3D</v>
          </cell>
          <cell r="H117">
            <v>35.4</v>
          </cell>
        </row>
        <row r="118">
          <cell r="D118" t="str">
            <v>79G15P4</v>
          </cell>
          <cell r="E118" t="str">
            <v>Chimbas</v>
          </cell>
          <cell r="F118" t="str">
            <v>https://maps.app.goo.gl/AsBXcqh5Yvsy9yL49</v>
          </cell>
          <cell r="G118" t="str">
            <v>https://www.google.com/maps/dir/Catamarca+Sur+664,+San+Juan/Escuela+13+de+junio,+J5413+Chimbas,+San+Juan/Catamarca+Sur+664,+San+Juan/@-31.5167635,-68.5606227,9877m/data=!3m2!1e3!4b1!4m20!4m19!1m5!1m1!1s0x9681402690dd76eb:0x4b283f8fe10ce3f3!2m2!1d-68.5293761!2d-31.5426363!1m5!1m1!1s0x96816931cc1b5c71:0x6929669d96041bea!2m2!1d-68.5203454!2d-31.4802547!1m5!1m1!1s0x9681402690dd76eb:0x4b283f8fe10ce3f3!2m2!1d-68.5293761!2d-31.5426363!3e0?entry=ttu&amp;g_ep=EgoyMDI1MDgxMy4wIKXMDSoASAFQAw%3D%3D</v>
          </cell>
          <cell r="H118">
            <v>21.9</v>
          </cell>
        </row>
        <row r="119">
          <cell r="D119" t="str">
            <v>79G2RZD</v>
          </cell>
          <cell r="E119" t="str">
            <v>ALBARDON</v>
          </cell>
          <cell r="F119" t="str">
            <v>https://maps.app.goo.gl/6x183hM8ummBEEXk6</v>
          </cell>
          <cell r="G119" t="str">
            <v>https://www.google.com/maps/dir/Catamarca+Sur+664,+San+Juan/Escuela+Regimientos+De+Los+Patricios,+Albard%C3%B3n,+San+Juan/Catamarca+Sur+664,+San+Juan/@-31.4741571,-68.5929403,19763m/data=!3m2!1e3!4b1!4m20!4m19!1m5!1m1!1s0x9681402690dd76eb:0x4b283f8fe10ce3f3!2m2!1d-68.5293761!2d-31.5426363!1m5!1m1!1s0x9681687973275677:0x9f661bba693f96d9!2m2!1d-68.4853214!2d-31.3936555!1m5!1m1!1s0x9681402690dd76eb:0x4b283f8fe10ce3f3!2m2!1d-68.5293761!2d-31.5426363!3e0?entry=ttu&amp;g_ep=EgoyMDI1MDgxMy4wIKXMDSoASAFQAw%3D%3D</v>
          </cell>
          <cell r="H119">
            <v>45.5</v>
          </cell>
        </row>
        <row r="120">
          <cell r="D120" t="str">
            <v>79G2T2F</v>
          </cell>
          <cell r="E120" t="str">
            <v>VALLE FÉRTIL</v>
          </cell>
          <cell r="F120" t="str">
            <v>https://maps.app.goo.gl/u9Lq6cuWyf89nAba9</v>
          </cell>
          <cell r="G120" t="str">
            <v>https://www.google.com/maps/dir/Catamarca+Sur+664,+J5402GSN+San+Juan/Escuela+Fray+Cayetano+Rodriguez,+San+Juan/Catamarca+Sur+664,+San+Juan/@-31.3412501,-68.9928099,269417m/data=!3m1!1e3!4m20!4m19!1m5!1m1!1s0x9681402690dd76eb:0x4b283f8fe10ce3f3!2m2!1d-68.5293761!2d-31.5426363!1m5!1m1!1s0x9429f915fc278d99:0x83109f3eb0b8f7fd!2m2!1d-67.249715!2d-30.9343391!1m5!1m1!1s0x9681402690dd76eb:0x4b283f8fe10ce3f3!2m2!1d-68.5293761!2d-31.5426363!3e0?entry=ttu&amp;g_ep=EgoyMDI1MDgxMy4wIKXMDSoASAFQAw%3D%3D</v>
          </cell>
          <cell r="H120">
            <v>428</v>
          </cell>
        </row>
        <row r="121">
          <cell r="D121" t="str">
            <v>79G3HVF</v>
          </cell>
          <cell r="E121" t="str">
            <v>VALLE FÉRTIL</v>
          </cell>
          <cell r="F121" t="str">
            <v>https://maps.app.goo.gl/W3tLaGcBDx3A4rme7</v>
          </cell>
          <cell r="G121" t="str">
            <v>https://www.google.com/maps/dir/Catamarca+Sur+664,+J5402GSN+San+Juan/Escuela+MARIA+ELENA+VIDART+DE+MAURIN,+San+Juan/Catamarca+Sur+664,+San+Juan/@-31.2790894,-68.5303567,158436m/data=!3m2!1e3!4b1!4m20!4m19!1m5!1m1!1s0x9681402690dd76eb:0x4b283f8fe10ce3f3!2m2!1d-68.5293761!2d-31.5426363!1m5!1m1!1s0x9429e28f13ce6029:0x3622ead2e74a0e77!2m2!1d-67.3663303!2d-30.8041418!1m5!1m1!1s0x9681402690dd76eb:0x4b283f8fe10ce3f3!2m2!1d-68.5293761!2d-31.5426363!3e0?entry=ttu&amp;g_ep=EgoyMDI1MDgxMy4wIKXMDSoASAFQAw%3D%3D</v>
          </cell>
          <cell r="H121">
            <v>456</v>
          </cell>
        </row>
        <row r="122">
          <cell r="D122" t="str">
            <v>79G3BNP</v>
          </cell>
          <cell r="E122" t="str">
            <v>VALLE FÉRTIL</v>
          </cell>
          <cell r="F122" t="str">
            <v>https://maps.app.goo.gl/ejymv5QGnfZXx1N87</v>
          </cell>
          <cell r="G122" t="str">
            <v>https://www.google.com/maps/dir/Catamarca+Sur+664,+J5402GSN+San+Juan/Escuela+Presbitero+Cayetano+de+Quiroga,+Usno,+San+Juan/Catamarca+Sur+664,+San+Juan/@-30.8354574,-68.5477568,159177m/data=!3m1!1e3!4m20!4m19!1m5!1m1!1s0x9681402690dd76eb:0x4b283f8fe10ce3f3!2m2!1d-68.5293761!2d-31.5426363!1m5!1m1!1s0x9682714cd6e897c3:0x38826668c759485b!2m2!1d-67.5415433!2d-30.5668235!1m5!1m1!1s0x9681402690dd76eb:0x4b283f8fe10ce3f3!2m2!1d-68.5293761!2d-31.5426363!3e0?entry=ttu&amp;g_ep=EgoyMDI1MDgxMy4wIKXMDSoASAFQAw%3D%3D</v>
          </cell>
          <cell r="H122">
            <v>521</v>
          </cell>
        </row>
        <row r="123">
          <cell r="D123" t="str">
            <v xml:space="preserve">793H9LH </v>
          </cell>
          <cell r="E123" t="str">
            <v>VALLE FÉRTIL</v>
          </cell>
          <cell r="F123" t="str">
            <v>https://maps.app.goo.gl/ejymv5QGnfZXx1N87</v>
          </cell>
          <cell r="G123" t="str">
            <v>https://www.google.com/maps/dir/Catamarca+Sur+664,+J5402GSN+San+Juan/Escuela+Presbitero+Cayetano+de+Quiroga,+Usno,+San+Juan/Catamarca+Sur+664,+San+Juan/@-30.8354574,-68.5477568,159177m/data=!3m1!1e3!4m20!4m19!1m5!1m1!1s0x9681402690dd76eb:0x4b283f8fe10ce3f3!2m2!1d-68.5293761!2d-31.5426363!1m5!1m1!1s0x9682714cd6e897c3:0x38826668c759485b!2m2!1d-67.5415433!2d-30.5668235!1m5!1m1!1s0x9681402690dd76eb:0x4b283f8fe10ce3f3!2m2!1d-68.5293761!2d-31.5426363!3e0?entry=ttu&amp;g_ep=EgoyMDI1MDgxMy4wIKXMDSoASAFQAw%3D%3D</v>
          </cell>
          <cell r="H123">
            <v>521</v>
          </cell>
        </row>
        <row r="124">
          <cell r="D124" t="str">
            <v>79G1C3H</v>
          </cell>
          <cell r="E124" t="str">
            <v>Rawson</v>
          </cell>
          <cell r="F124" t="str">
            <v>https://maps.app.goo.gl/L2utjvkYhpkmZYFM6</v>
          </cell>
          <cell r="G124"/>
          <cell r="H124"/>
        </row>
        <row r="125">
          <cell r="D125" t="str">
            <v>79G2T49</v>
          </cell>
          <cell r="E125" t="str">
            <v>Rawson</v>
          </cell>
          <cell r="F125" t="str">
            <v>https://maps.app.goo.gl/x6YZxo3kqLn8TSfp7</v>
          </cell>
          <cell r="G125"/>
          <cell r="H125"/>
        </row>
        <row r="126">
          <cell r="D126" t="str">
            <v>79G2RYP</v>
          </cell>
          <cell r="E126" t="str">
            <v>Rawson</v>
          </cell>
          <cell r="F126" t="str">
            <v>https://maps.app.goo.gl/WPU8ziLjPnj9BsJZ7</v>
          </cell>
          <cell r="G126"/>
          <cell r="H126"/>
        </row>
        <row r="127">
          <cell r="D127" t="str">
            <v>79G2RY7</v>
          </cell>
          <cell r="E127" t="str">
            <v>Rawson</v>
          </cell>
          <cell r="F127" t="str">
            <v>https://maps.app.goo.gl/eNv5ZSVEoKYWYovR8</v>
          </cell>
          <cell r="G127" t="str">
            <v>https://www.google.com/maps/dir/Catamarca+Sur+664,+San+Juan/Jos%C3%A9+Mar%C3%ADa+Paz+Oeste+%26+Magallanes,+J5425+Villa+Krause,+San+Juan/Catamarca+Sur+664,+San+Juan/@-31.5594164,-68.563064,4936m/data=!3m2!1e3!4b1!4m20!4m19!1m5!1m1!1s0x9681402690dd76eb:0x4b283f8fe10ce3f3!2m2!1d-68.5293761!2d-31.5426363!1m5!1m1!1s0x96813f89d7bb9031:0xc8e397208a2c89a!2m2!1d-68.5568805!2d-31.576299!1m5!1m1!1s0x9681402690dd76eb:0x4b283f8fe10ce3f3!2m2!1d-68.5293761!2d-31.5426363!3e0?entry=ttu&amp;g_ep=EgoyMDI1MDgxMy4wIKXMDSoASAFQAw%3D%3D</v>
          </cell>
          <cell r="H127">
            <v>11.6</v>
          </cell>
        </row>
        <row r="128">
          <cell r="D128" t="str">
            <v>79G2RRP</v>
          </cell>
          <cell r="E128" t="str">
            <v>Rawson</v>
          </cell>
          <cell r="F128" t="str">
            <v>https://maps.app.goo.gl/knUd5SNWCFe2BCmd9</v>
          </cell>
          <cell r="G128" t="str">
            <v>https://www.google.com/maps/dir/Catamarca+Sur+664,+San+Juan/Colegio+Antonio+de+la+Torre,+Blvd.+Sarmiento+Oeste+1029,+J5425+Villa+Krause,+San+Juan/Catamarca+Sur+664,+San+Juan/@-31.5602868,-68.5583604,4936m/data=!3m1!1e3!4m20!4m19!1m5!1m1!1s0x9681402690dd76eb:0x4b283f8fe10ce3f3!2m2!1d-68.5293761!2d-31.5426363!1m5!1m1!1s0x96813f8b664fdf6b:0x5bc4a362718254ea!2m2!1d-68.5504471!2d-31.5797098!1m5!1m1!1s0x9681402690dd76eb:0x4b283f8fe10ce3f3!2m2!1d-68.5293761!2d-31.5426363!3e0?entry=ttu&amp;g_ep=EgoyMDI1MDgxMy4wIKXMDSoASAFQAw%3D%3D</v>
          </cell>
          <cell r="H128">
            <v>10.6</v>
          </cell>
        </row>
        <row r="129">
          <cell r="D129" t="str">
            <v>79G2T2H</v>
          </cell>
          <cell r="E129" t="str">
            <v>Pocito</v>
          </cell>
          <cell r="F129" t="str">
            <v>https://maps.app.goo.gl/NDTRdDYGR5gzLLHAA</v>
          </cell>
          <cell r="G129" t="str">
            <v>https://www.google.com/maps/dir/Catamarca+Sur+664,+San+Juan/-31.8206734,-68.5466338/Catamarca+Sur+664,+San+Juan/@-31.6808866,-68.7020632,39439m/data=!3m2!1e3!4b1!4m15!4m14!1m5!1m1!1s0x9681402690dd76eb:0x4b283f8fe10ce3f3!2m2!1d-68.5293761!2d-31.5426363!1m0!1m5!1m1!1s0x9681402690dd76eb:0x4b283f8fe10ce3f3!2m2!1d-68.5293761!2d-31.5426363!3e0?hl=es&amp;entry=ttu&amp;g_ep=EgoyMDI1MDgxMy4wIKXMDSoASAFQAw%3D%3D</v>
          </cell>
          <cell r="H129">
            <v>67.400000000000006</v>
          </cell>
        </row>
        <row r="130">
          <cell r="D130" t="str">
            <v>79G3R0P</v>
          </cell>
          <cell r="E130" t="str">
            <v>Capital</v>
          </cell>
          <cell r="F130" t="str">
            <v>https://maps.app.goo.gl/pNnaXcjKW5M4d1rK7</v>
          </cell>
          <cell r="G130" t="str">
            <v>https://www.google.com/maps/dir/Catamarca+Sur+664,+San+Juan/Escuela+Barrio+Frondizi,+J5400+San+Juan/Catamarca+Sur+664,+San+Juan/@-31.5312724,-68.5606267,9876m/data=!3m2!1e3!4b1!4m20!4m19!1m5!1m1!1s0x9681402690dd76eb:0x4b283f8fe10ce3f3!2m2!1d-68.5293761!2d-31.5426363!1m5!1m1!1s0x96816a6de8a0fe01:0xf66aa74c5bbd16c9!2m2!1d-68.5114904!2d-31.5077075!1m5!1m1!1s0x9681402690dd76eb:0x4b283f8fe10ce3f3!2m2!1d-68.5293761!2d-31.5426363!3e0?entry=ttu&amp;g_ep=EgoyMDI1MDgxMy4wIKXMDSoASAFQAw%3D%3D</v>
          </cell>
          <cell r="H130">
            <v>15.4</v>
          </cell>
        </row>
        <row r="131">
          <cell r="D131" t="str">
            <v>79G3Z54</v>
          </cell>
          <cell r="E131" t="str">
            <v>Capital</v>
          </cell>
          <cell r="F131" t="str">
            <v>https://maps.app.goo.gl/9SahrA6UXpCinNjy9</v>
          </cell>
          <cell r="G131" t="str">
            <v>https://www.google.com/maps/dir/Catamarca+Sur+664,+San+Juan/Escuela+Teniente+Primero+Francisco+Ib%C3%A1%C3%B1ez,+Tucum%C3%A1n+Norte+1633,+J5400+San+Juan/@-31.528596,-68.5496037,4938m/data=!3m2!1e3!4b1!4m14!4m13!1m5!1m1!1s0x9681402690dd76eb:0x4b283f8fe10ce3f3!2m2!1d-68.5293761!2d-31.5426363!1m5!1m1!1s0x96816a780409baed:0x2060159593db3a79!2m2!1d-68.5243129!2d-31.5146116!3e0?hl=es&amp;entry=ttu&amp;g_ep=EgoyMDI1MDYyOS4wIKXMDSoASAFQAw%3D%3D</v>
          </cell>
          <cell r="H131">
            <v>8</v>
          </cell>
        </row>
        <row r="132">
          <cell r="D132" t="str">
            <v>79G3HV6</v>
          </cell>
          <cell r="E132" t="str">
            <v>Ulum</v>
          </cell>
          <cell r="F132" t="str">
            <v>https://maps.app.goo.gl/sXdmaoL32638A2cJ8</v>
          </cell>
          <cell r="G132" t="str">
            <v>https://www.google.com/maps/place/Escuela+Elvira+de+La+Riestra+de+Lainez/@-31.4858625,-68.7154959,19761m/data=!3m1!1e3!4m30!1m23!4m22!1m6!1m2!1s0x9681402690dd76eb:0x4b283f8fe10ce3f3!2sCatamarca+Sur+664,+J5402GSN+San+Juan!2m2!1d-68.5293761!2d-31.5426363!1m6!1m2!1s0x96814f39c3ec0195:0xa22d5311c116c93f!2sEscuela+Elvira+de+La+Riestra+de+Lainez,+San+Juan!2m2!1d-68.736792!2d-31.4618694!1m6!1m2!1s0x9681402690dd76eb:0x4b283f8fe10ce3f3!2sCatamarca+Sur+664,+San+Juan!2m2!1d-68.5293761!2d-31.5426363!3e0!3m5!1s0x96814f39c3ec0195:0xa22d5311c116c93f!8m2!3d-31.4618574!4d-68.7367936!16s%2Fg%2F11g1gmz4rs?entry=ttu&amp;g_ep=EgoyMDI1MDgxMy4wIKXMDSoASAFQAw%3D%3D</v>
          </cell>
          <cell r="H132">
            <v>67.5</v>
          </cell>
        </row>
        <row r="133">
          <cell r="D133" t="str">
            <v>79G15N9</v>
          </cell>
          <cell r="E133" t="str">
            <v>Santa Lucía</v>
          </cell>
          <cell r="G133" t="str">
            <v>https://maps.google.com/maps?q=-31.5445787%2C-68.4821146&amp;z=17&amp;hl=es</v>
          </cell>
          <cell r="H133">
            <v>14</v>
          </cell>
        </row>
        <row r="134">
          <cell r="D134" t="str">
            <v>79G5RL1</v>
          </cell>
          <cell r="E134" t="str">
            <v>Caucete</v>
          </cell>
          <cell r="F134" t="str">
            <v>https://maps.app.goo.gl/pnxwrkTnjmrCc8CDA</v>
          </cell>
          <cell r="G134" t="str">
            <v>https://www.google.com/maps/dir/Catamarca+Sur,+J5402+San+Juan/Escuela+Republica+de+Bolivia,+Marayes,+San+Juan/Catamarca+Sur+664,+San+Juan/@-31.6153358,-68.5745201,157869m/data=!3m1!1e3!4m20!4m19!1m5!1m1!1s0x968140269756b7e1:0x3c38eb6d66eb45d!2m2!1d-68.5295918!2d-31.5427459!1m5!1m1!1s0x942a772788883769:0x4fbf95bbaa33448c!2m2!1d-67.3030765!2d-31.476627!1m5!1m1!1s0x9681402690dd76eb:0x4b283f8fe10ce3f3!2m2!1d-68.5293761!2d-31.5426363!3e0?entry=ttu&amp;g_ep=EgoyMDI1MDgxMy4wIKXMDSoASAFQAw%3D%3D</v>
          </cell>
          <cell r="H134">
            <v>282</v>
          </cell>
        </row>
        <row r="135">
          <cell r="D135" t="str">
            <v>79G5VHY</v>
          </cell>
          <cell r="E135" t="str">
            <v>Capital</v>
          </cell>
          <cell r="F135" t="str">
            <v>https://maps.app.goo.gl/7LCK2cCZJZLawiF5A</v>
          </cell>
          <cell r="G135" t="str">
            <v>https://www.google.com/maps/dir/Catamarca+Sur+664,+San+Juan/Escuela+Sarmiento,+399+J5400ARD,+Av.+Libertador+Gral.+San+Mart%C3%ADn+301,+J5400ARD+San+Juan/@-31.5346969,-68.5318737,309m/data=!3m1!1e3!4m14!4m13!1m5!1m1!1s0x9681402690dd76eb:0x4b283f8fe10ce3f3!2m2!1d-68.5293761!2d-31.5426363!1m5!1m1!1s0x9681402eba52d5d1:0xfd668ae86d9ab4c0!2m2!1d-68.5314656!2d-31.5344226!3e0?entry=ttu&amp;g_ep=EgoyMDI1MDYyOS4wIKXMDSoASAFQAw%3D%3D</v>
          </cell>
          <cell r="H135">
            <v>2</v>
          </cell>
        </row>
        <row r="136">
          <cell r="D136" t="str">
            <v>79G0XZY</v>
          </cell>
          <cell r="E136" t="str">
            <v>Capital</v>
          </cell>
          <cell r="F136" t="str">
            <v>https://maps.app.goo.gl/mnAf8f54YAS9McpC6</v>
          </cell>
          <cell r="G136" t="str">
            <v>https://www.google.com/maps/dir/Catamarca+Sur+664,+San+Juan/Colegio+Provincial+De+La+Capital,+y,+Av.+Espa%C3%B1a+Sur,+J5402+San+Juan/@-31.5480585,-68.5389371,2468m/data=!3m2!1e3!4b1!4m14!4m13!1m5!1m1!1s0x9681402690dd76eb:0x4b283f8fe10ce3f3!2m2!1d-68.5293761!2d-31.5426363!1m5!1m1!1s0x96814018f0243eaf:0x8153012404ea9305!2m2!1d-68.5327243!2d-31.5524219!3e0?entry=ttu&amp;g_ep=EgoyMDI1MDYyOS4wIKXMDSoASAFQAw%3D%3D</v>
          </cell>
          <cell r="H136">
            <v>4</v>
          </cell>
        </row>
        <row r="137">
          <cell r="D137" t="str">
            <v>79G3LDH</v>
          </cell>
          <cell r="E137" t="str">
            <v>Capital</v>
          </cell>
          <cell r="F137" t="str">
            <v>https://maps.google.com/maps?q=-31.5525108%2C-68.5324931&amp;z=17&amp;hl=es</v>
          </cell>
          <cell r="G137" t="str">
            <v>https://www.google.com/maps/dir/Catamarca+Sur+664,+San+Juan/Escuela+Dr.+Juan+Crisostomo+Albarracin,+Av.+Espa%C3%B1a+Sur,+J5402DSC,+San+Juan/@-31.5480585,-68.5389371,2468m/data=!3m2!1e3!4b1!4m14!4m13!1m5!1m1!1s0x9681402690dd76eb:0x4b283f8fe10ce3f3!2m2!1d-68.5293761!2d-31.5426363!1m5!1m1!1s0x96814177747a586d:0x98e45aa90beabd08!2m2!1d-68.532831!2d-31.552289!3e0?hl=es&amp;entry=ttu&amp;g_ep=EgoyMDI1MDYyOS4wIKXMDSoASAFQAw%3D%3D</v>
          </cell>
          <cell r="H137">
            <v>4</v>
          </cell>
        </row>
        <row r="138">
          <cell r="D138" t="str">
            <v>79G1C0B</v>
          </cell>
          <cell r="E138" t="str">
            <v>Chimbas</v>
          </cell>
          <cell r="F138" t="str">
            <v>https://maps.app.goo.gl/AsBXcqh5Yvsy9yL49</v>
          </cell>
          <cell r="G138" t="str">
            <v>https://www.google.com/maps/dir/Catamarca+Sur+664,+San+Juan/Escuela+13+de+junio,+J5413+Chimbas,+San+Juan/Catamarca+Sur+664,+San+Juan/@-31.5167635,-68.5606227,9877m/data=!3m2!1e3!4b1!4m20!4m19!1m5!1m1!1s0x9681402690dd76eb:0x4b283f8fe10ce3f3!2m2!1d-68.5293761!2d-31.5426363!1m5!1m1!1s0x96816931cc1b5c71:0x6929669d96041bea!2m2!1d-68.5203454!2d-31.4802547!1m5!1m1!1s0x9681402690dd76eb:0x4b283f8fe10ce3f3!2m2!1d-68.5293761!2d-31.5426363!3e0?entry=ttu&amp;g_ep=EgoyMDI1MDgxMy4wIKXMDSoASAFQAw%3D%3D</v>
          </cell>
          <cell r="H138">
            <v>21.9</v>
          </cell>
        </row>
        <row r="139">
          <cell r="D139" t="str">
            <v>79G3F71</v>
          </cell>
          <cell r="E139" t="str">
            <v>Zonda</v>
          </cell>
          <cell r="F139" t="str">
            <v>https://maps.app.goo.gl/WBVSMFBEiRHtMhXK7</v>
          </cell>
          <cell r="G139" t="str">
            <v>https://www.google.com/maps/dir/Catamarca+Sur+664,+San+Juan/Escuela+Rafael+Obligado,+Villa+Basilio+Nievas,+San+Juan/Catamarca+Sur+664,+San+Juan/@-31.5526162,-68.7127068,19747m/data=!3m2!1e3!4b1!4m20!4m19!1m5!1m1!1s0x9681402690dd76eb:0x4b283f8fe10ce3f3!2m2!1d-68.5293761!2d-31.5426363!1m5!1m1!1s0x9681488fd721e9ef:0xebd083423b94a500!2m2!1d-68.7298254!2d-31.5521921!1m5!1m1!1s0x9681402690dd76eb:0x4b283f8fe10ce3f3!2m2!1d-68.5293761!2d-31.5426363!3e0?hl=es&amp;entry=ttu&amp;g_ep=EgoyMDI1MDgxMy4wIKXMDSoASAFQAw%3D%3D</v>
          </cell>
          <cell r="H139">
            <v>45.9</v>
          </cell>
        </row>
        <row r="140">
          <cell r="D140" t="str">
            <v>79G4P3W</v>
          </cell>
          <cell r="E140" t="str">
            <v>Zonda</v>
          </cell>
          <cell r="F140" t="str">
            <v>https://maps.app.goo.gl/WBVSMFBEiRHtMhXK7</v>
          </cell>
          <cell r="G140" t="str">
            <v>https://www.google.com/maps/dir/Catamarca+Sur+664,+San+Juan/Escuela+Rafael+Obligado,+Villa+Basilio+Nievas,+San+Juan/Catamarca+Sur+664,+San+Juan/@-31.5526162,-68.7127068,19747m/data=!3m2!1e3!4b1!4m20!4m19!1m5!1m1!1s0x9681402690dd76eb:0x4b283f8fe10ce3f3!2m2!1d-68.5293761!2d-31.5426363!1m5!1m1!1s0x9681488fd721e9ef:0xebd083423b94a500!2m2!1d-68.7298254!2d-31.5521921!1m5!1m1!1s0x9681402690dd76eb:0x4b283f8fe10ce3f3!2m2!1d-68.5293761!2d-31.5426363!3e0?hl=es&amp;entry=ttu&amp;g_ep=EgoyMDI1MDgxMy4wIKXMDSoASAFQAw%3D%3D</v>
          </cell>
          <cell r="H140">
            <v>45.9</v>
          </cell>
        </row>
        <row r="141">
          <cell r="D141" t="str">
            <v>794GMDP</v>
          </cell>
          <cell r="E141" t="str">
            <v>Santa Lucia</v>
          </cell>
          <cell r="F141" t="str">
            <v>https://maps.app.goo.gl/5JpSDJwaUn8uQZS46</v>
          </cell>
          <cell r="G141" t="str">
            <v>https://www.google.com/maps/dir/Catamarca+Sur+664,+San+Juan/Escuela+Amable+Jones,+F.+M.+Esqui%C3%BA+1402-1500,+J5400+Santa+Luc%C3%ADa,+San+Juan/Catamarca+Sur+664,+San+Juan/@-31.5411398,-68.5380516,4937m/data=!3m2!1e3!4b1!4m20!4m19!1m5!1m1!1s0x9681402690dd76eb:0x4b283f8fe10ce3f3!2m2!1d-68.5293761!2d-31.5426363!1m5!1m1!1s0x96816a8bdbcc4b51:0xd35d12133b2605e6!2m2!1d-68.5063977!2d-31.5274032!1m5!1m1!1s0x9681402690dd76eb:0x4b283f8fe10ce3f3!2m2!1d-68.5293761!2d-31.5426363!3e0?hl=es&amp;entry=ttu&amp;g_ep=EgoyMDI1MDgxMy4wIKXMDSoASAFQAw%3D%3D</v>
          </cell>
          <cell r="H141">
            <v>10.199999999999999</v>
          </cell>
        </row>
        <row r="142">
          <cell r="D142" t="str">
            <v>79G3HWN</v>
          </cell>
          <cell r="E142" t="str">
            <v>Iglesia</v>
          </cell>
          <cell r="F142" t="str">
            <v>https://maps.app.goo.gl/BFwCdXSwLccfGKLe9</v>
          </cell>
          <cell r="G142" t="str">
            <v>https://www.google.com/maps/dir/Catamarca+Sur+664,+San+Juan/Escuela+Yapeyu,+Iglesia,+San+Juan/Catamarca+Sur+664,+San+Juan/@-30.9777014,-69.522509,158940m/data=!3m2!1e3!4b1!4m20!4m19!1m5!1m1!1s0x9681402690dd76eb:0x4b283f8fe10ce3f3!2m2!1d-68.5293761!2d-31.5426363!1m5!1m1!1s0x968493b1571e47c5:0x81d98aefeaafccc6!2m2!1d-69.222758!2d-30.4143137!1m5!1m1!1s0x9681402690dd76eb:0x4b283f8fe10ce3f3!2m2!1d-68.5293761!2d-31.5426363!3e0?entry=ttu&amp;g_ep=EgoyMDI1MDgxMy4wIKXMDSoASAFQAw%3D%3D</v>
          </cell>
          <cell r="H142">
            <v>344</v>
          </cell>
        </row>
        <row r="143">
          <cell r="D143" t="str">
            <v>79G72C8</v>
          </cell>
          <cell r="E143" t="str">
            <v>Iglesia</v>
          </cell>
          <cell r="F143" t="str">
            <v>https://maps.app.goo.gl/BFwCdXSwLccfGKLe9</v>
          </cell>
          <cell r="G143" t="str">
            <v>https://www.google.com/maps/dir/Catamarca+Sur+664,+San+Juan/Escuela+Yapeyu,+Iglesia,+San+Juan/Catamarca+Sur+664,+San+Juan/@-30.9777014,-69.522509,158940m/data=!3m2!1e3!4b1!4m20!4m19!1m5!1m1!1s0x9681402690dd76eb:0x4b283f8fe10ce3f3!2m2!1d-68.5293761!2d-31.5426363!1m5!1m1!1s0x968493b1571e47c5:0x81d98aefeaafccc6!2m2!1d-69.222758!2d-30.4143137!1m5!1m1!1s0x9681402690dd76eb:0x4b283f8fe10ce3f3!2m2!1d-68.5293761!2d-31.5426363!3e0?entry=ttu&amp;g_ep=EgoyMDI1MDgxMy4wIKXMDSoASAFQAw%3D%3D</v>
          </cell>
          <cell r="H143">
            <v>344</v>
          </cell>
        </row>
        <row r="144">
          <cell r="D144" t="str">
            <v>79G1DWD</v>
          </cell>
          <cell r="E144" t="str">
            <v>Iglesia</v>
          </cell>
          <cell r="F144" t="str">
            <v>https://maps.app.goo.gl/MNGdne2zzCFJuQuVA</v>
          </cell>
          <cell r="G144" t="str">
            <v>https://www.google.com/maps/dir/Catamarca+Sur+664,+San+Juan/Escuela+Bachiller+Columna+Cabot,+RN149,+Iglesia,+San+Juan/Catamarca+Sur+664,+San+Juan/@-30.5834371,-69.5143219,75616m/data=!3m1!1e3!4m20!4m19!1m5!1m1!1s0x9681402690dd76eb:0x4b283f8fe10ce3f3!2m2!1d-68.5293761!2d-31.5426363!1m5!1m1!1s0x968493b3f126c0f3:0x982658a18788c36c!2m2!1d-69.2224975!2d-30.4152612!1m5!1m1!1s0x9681402690dd76eb:0x4b283f8fe10ce3f3!2m2!1d-68.5293761!2d-31.5426363!3e0?entry=ttu&amp;g_ep=EgoyMDI1MDgxMy4wIKXMDSoASAFQAw%3D%3D</v>
          </cell>
          <cell r="H144">
            <v>344</v>
          </cell>
        </row>
        <row r="145">
          <cell r="D145" t="str">
            <v>79G3211</v>
          </cell>
          <cell r="E145" t="str">
            <v>Iglesia</v>
          </cell>
          <cell r="F145" t="str">
            <v>https://maps.app.goo.gl/vY6xLm2wpok953Li8</v>
          </cell>
          <cell r="G145" t="str">
            <v>https://www.google.com/maps/dir/Catamarca+Sur+664,+San+Juan/Escuela+Albergue+de+RODEO,+Av.+Santo+Domingo+5465,+J5465+Rodeo,+San+Juan/Catamarca+Sur+664,+San+Juan/@-30.4104837,-70.2602713,207608m/data=!3m1!1e3!4m20!4m19!1m5!1m1!1s0x9681402690dd76eb:0x4b283f8fe10ce3f3!2m2!1d-68.5293761!2d-31.5426363!1m5!1m1!1s0x9684bdf26c06f9af:0x416a2ab2c15657ce!2m2!1d-69.1378425!2d-30.2122908!1m5!1m1!1s0x9681402690dd76eb:0x4b283f8fe10ce3f3!2m2!1d-68.5293761!2d-31.5426363!3e0?entry=ttu&amp;g_ep=EgoyMDI1MDgxMy4wIKXMDSoASAFQAw%3D%3D</v>
          </cell>
          <cell r="H145">
            <v>397</v>
          </cell>
        </row>
        <row r="146">
          <cell r="D146" t="str">
            <v>79G496G</v>
          </cell>
          <cell r="E146" t="str">
            <v>Iglesia</v>
          </cell>
          <cell r="F146" t="str">
            <v>https://maps.app.goo.gl/sPodEYcxMyBv1P6h6</v>
          </cell>
          <cell r="G146" t="str">
            <v>https://www.google.com/maps/dir/Catamarca+Sur+664,+San+Juan/Escuela+Ricardo+G%C3%BCiraldes,+Iglesia,+San+Juan/Catamarca+Sur+664,+San+Juan/@-30.8635446,-70.2069585,318260m/data=!3m2!1e3!4b1!4m20!4m19!1m5!1m1!1s0x9681402690dd76eb:0x4b283f8fe10ce3f3!2m2!1d-68.5293761!2d-31.5426363!1m5!1m1!1s0x9684b8bc10626897:0xe0da6808284dbd47!2m2!1d-69.2709863!2d-30.190227!1m5!1m1!1s0x9681402690dd76eb:0x4b283f8fe10ce3f3!2m2!1d-68.5293761!2d-31.5426363!3e0?entry=ttu&amp;g_ep=EgoyMDI1MDgxMy4wIKXMDSoASAFQAw%3D%3D</v>
          </cell>
          <cell r="H146">
            <v>396</v>
          </cell>
        </row>
        <row r="147">
          <cell r="D147" t="str">
            <v>793ZYZ1</v>
          </cell>
          <cell r="E147" t="str">
            <v>Iglesia</v>
          </cell>
          <cell r="F147" t="str">
            <v>https://maps.app.goo.gl/tx88smPeAvgH4SfWA</v>
          </cell>
          <cell r="G147" t="str">
            <v>https://www.google.com/maps/place/Escuela+17+De+Agosto/@-30.9356055,-69.5206119,159010m/data=!3m1!1e3!4m30!1m23!4m22!1m6!1m2!1s0x968140269756b7e1:0x3c38eb6d66eb45d!2sCatamarca+Sur,+J5402+San+Juan!2m2!1d-68.5295918!2d-31.5427459!1m6!1m2!1s0x968495ce20617759:0xbd6888574a3c5361!2sEscuela+17+De+Agosto,+Iglesia,+San+Juan!2m2!1d-69.2043643!2d-30.3219363!1m6!1m2!1s0x9681402690dd76eb:0x4b283f8fe10ce3f3!2sCatamarca+Sur+664,+San+Juan!2m2!1d-68.5293761!2d-31.5426363!3e0!3m5!1s0x968495ce20617759:0xbd6888574a3c5361!8m2!3d-30.3219101!4d-69.204371!16s%2Fg%2F11clw1533r?entry=ttu&amp;g_ep=EgoyMDI1MDgxMy4wIKXMDSoASAFQAw%3D%3D</v>
          </cell>
          <cell r="H147">
            <v>360</v>
          </cell>
        </row>
        <row r="148">
          <cell r="D148" t="str">
            <v>79G15R9</v>
          </cell>
          <cell r="E148" t="str">
            <v>Iglesia</v>
          </cell>
          <cell r="F148" t="str">
            <v>https://maps.app.goo.gl/oKNcDKwtGVP22j5F7</v>
          </cell>
          <cell r="G148" t="str">
            <v>https://www.google.com/maps/dir/Catamarca+Sur,+J5402+San+Juan/ESCUELA+DALMACIO+VELEZ+SARSFIELD,+Rodeo,+San+Juan/Catamarca+Sur+664,+San+Juan/@-30.433005,-69.8482891,215374m/data=!3m1!1e3!4m20!4m19!1m5!1m1!1s0x968140269756b7e1:0x3c38eb6d66eb45d!2m2!1d-68.5295918!2d-31.5427459!1m5!1m1!1s0x9684bcb03d0333d5:0x4c39cfd924317fd7!2m2!1d-69.1071727!2d-30.1921528!1m5!1m1!1s0x9681402690dd76eb:0x4b283f8fe10ce3f3!2m2!1d-68.5293761!2d-31.5426363!3e0?entry=ttu&amp;g_ep=EgoyMDI1MDgxMy4wIKXMDSoASAFQAw%3D%3D</v>
          </cell>
          <cell r="H148">
            <v>405</v>
          </cell>
        </row>
        <row r="149">
          <cell r="D149" t="str">
            <v>793PZFP</v>
          </cell>
          <cell r="E149" t="str">
            <v>Iglesia</v>
          </cell>
          <cell r="F149" t="str">
            <v>https://maps.app.goo.gl/oKNcDKwtGVP22j5F7</v>
          </cell>
          <cell r="G149" t="str">
            <v>https://www.google.com/maps/dir/Catamarca+Sur,+J5402+San+Juan/ESCUELA+DALMACIO+VELEZ+SARSFIELD,+Rodeo,+San+Juan/Catamarca+Sur+664,+San+Juan/@-30.433005,-69.8482891,215374m/data=!3m1!1e3!4m20!4m19!1m5!1m1!1s0x968140269756b7e1:0x3c38eb6d66eb45d!2m2!1d-68.5295918!2d-31.5427459!1m5!1m1!1s0x9684bcb03d0333d5:0x4c39cfd924317fd7!2m2!1d-69.1071727!2d-30.1921528!1m5!1m1!1s0x9681402690dd76eb:0x4b283f8fe10ce3f3!2m2!1d-68.5293761!2d-31.5426363!3e0?entry=ttu&amp;g_ep=EgoyMDI1MDgxMy4wIKXMDSoASAFQAw%3D%3D</v>
          </cell>
          <cell r="H149">
            <v>405</v>
          </cell>
        </row>
        <row r="150">
          <cell r="D150" t="str">
            <v>79G15H7</v>
          </cell>
          <cell r="E150" t="str">
            <v>Iglesia</v>
          </cell>
          <cell r="F150" t="str">
            <v>https://maps.app.goo.gl/vY6xLm2wpok953Li8</v>
          </cell>
          <cell r="G150" t="str">
            <v>https://www.google.com/maps/dir/Catamarca+Sur+664,+San+Juan/Escuela+Albergue+de+RODEO,+Av.+Santo+Domingo+5465,+J5465+Rodeo,+San+Juan/Catamarca+Sur+664,+San+Juan/@-30.4104837,-70.2602713,207608m/data=!3m1!1e3!4m20!4m19!1m5!1m1!1s0x9681402690dd76eb:0x4b283f8fe10ce3f3!2m2!1d-68.5293761!2d-31.5426363!1m5!1m1!1s0x9684bdf26c06f9af:0x416a2ab2c15657ce!2m2!1d-69.1378425!2d-30.2122908!1m5!1m1!1s0x9681402690dd76eb:0x4b283f8fe10ce3f3!2m2!1d-68.5293761!2d-31.5426363!3e0?entry=ttu&amp;g_ep=EgoyMDI1MDgxMy4wIKXMDSoASAFQAw%3D%3D</v>
          </cell>
          <cell r="H150">
            <v>397</v>
          </cell>
        </row>
        <row r="151">
          <cell r="D151" t="str">
            <v>79G5T0W</v>
          </cell>
          <cell r="E151" t="str">
            <v>Iglesia</v>
          </cell>
          <cell r="F151" t="str">
            <v>https://maps.app.goo.gl/MNGdne2zzCFJuQuVA</v>
          </cell>
          <cell r="G151" t="str">
            <v>https://www.google.com/maps/dir/Catamarca+Sur+664,+San+Juan/Escuela+Bachiller+Columna+Cabot,+RN149,+Iglesia,+San+Juan/Catamarca+Sur+664,+San+Juan/@-30.5834371,-69.5143219,75616m/data=!3m1!1e3!4m20!4m19!1m5!1m1!1s0x9681402690dd76eb:0x4b283f8fe10ce3f3!2m2!1d-68.5293761!2d-31.5426363!1m5!1m1!1s0x968493b3f126c0f3:0x982658a18788c36c!2m2!1d-69.2224975!2d-30.4152612!1m5!1m1!1s0x9681402690dd76eb:0x4b283f8fe10ce3f3!2m2!1d-68.5293761!2d-31.5426363!3e0?entry=ttu&amp;g_ep=EgoyMDI1MDgxMy4wIKXMDSoASAFQAw%3D%3D</v>
          </cell>
          <cell r="H151">
            <v>344</v>
          </cell>
        </row>
        <row r="152">
          <cell r="D152" t="str">
            <v>79G134K</v>
          </cell>
          <cell r="E152" t="str">
            <v>Iglesia</v>
          </cell>
          <cell r="F152" t="str">
            <v>https://maps.app.goo.gl/gMu7PN9SpcHRRNuZA</v>
          </cell>
          <cell r="G152" t="str">
            <v>https://www.google.com/maps/dir/Catamarca+Sur+664,+San+Juan/Escuela+Antartida+Argentina,+Unnamed+Road,+Angualasto,+San+Juan/Catamarca+Sur+664,+San+Juan/@-30.7956101,-70.1871678,318485m/data=!3m2!1e3!4b1!4m20!4m19!1m5!1m1!1s0x9681402690dd76eb:0x4b283f8fe10ce3f3!2m2!1d-68.5293761!2d-31.5426363!1m5!1m1!1s0x9684b121462c9afd:0x710282a8e7a0fbe1!2m2!1d-69.173363!2d-30.0543872!1m5!1m1!1s0x9681402690dd76eb:0x4b283f8fe10ce3f3!2m2!1d-68.5293761!2d-31.5426363!3e0?entry=ttu&amp;g_ep=EgoyMDI1MDgxMy4wIKXMDSoASAFQAw%3D%3D</v>
          </cell>
          <cell r="H152">
            <v>438</v>
          </cell>
        </row>
        <row r="153">
          <cell r="D153" t="str">
            <v>79G3LN5</v>
          </cell>
          <cell r="E153" t="str">
            <v>Iglesia</v>
          </cell>
          <cell r="F153" t="str">
            <v>https://maps.app.goo.gl/gMu7PN9SpcHRRNuZA</v>
          </cell>
          <cell r="G153" t="str">
            <v>https://www.google.com/maps/dir/Catamarca+Sur+664,+San+Juan/Escuela+Antartida+Argentina,+Unnamed+Road,+Angualasto,+San+Juan/Catamarca+Sur+664,+San+Juan/@-30.7956101,-70.1871678,318485m/data=!3m2!1e3!4b1!4m20!4m19!1m5!1m1!1s0x9681402690dd76eb:0x4b283f8fe10ce3f3!2m2!1d-68.5293761!2d-31.5426363!1m5!1m1!1s0x9684b121462c9afd:0x710282a8e7a0fbe1!2m2!1d-69.173363!2d-30.0543872!1m5!1m1!1s0x9681402690dd76eb:0x4b283f8fe10ce3f3!2m2!1d-68.5293761!2d-31.5426363!3e0?entry=ttu&amp;g_ep=EgoyMDI1MDgxMy4wIKXMDSoASAFQAw%3D%3D</v>
          </cell>
          <cell r="H153">
            <v>438</v>
          </cell>
        </row>
        <row r="154">
          <cell r="D154" t="str">
            <v>79G3LKT</v>
          </cell>
          <cell r="E154" t="str">
            <v>Iglesia</v>
          </cell>
          <cell r="F154" t="str">
            <v>https://maps.app.goo.gl/dspFEvgjNsUP8Ec87</v>
          </cell>
          <cell r="G154" t="str">
            <v>https://www.google.com/maps/dir/Catamarca+Sur,+J5402+San+Juan/Escuela+de+Educaci%C3%B3n+Especial+M%C3%BAltiple+de+Iglesia,+Rodeo,+San+Juan/Catamarca+Sur+664,+San+Juan/@-30.8757303,-70.1871663,318220m/data=!3m2!1e3!4b1!4m20!4m19!1m5!1m1!1s0x968140269756b7e1:0x3c38eb6d66eb45d!2m2!1d-68.5295918!2d-31.5427459!1m5!1m1!1s0x9684bcf6193a0dd7:0x7ec49f863a410279!2m2!1d-69.1442996!2d-30.2153806!1m5!1m1!1s0x9681402690dd76eb:0x4b283f8fe10ce3f3!2m2!1d-68.5293761!2d-31.5426363!3e0?entry=ttu&amp;g_ep=EgoyMDI1MDgxMy4wIKXMDSoASAFQAw%3D%3D</v>
          </cell>
          <cell r="H154">
            <v>396</v>
          </cell>
        </row>
        <row r="155">
          <cell r="D155" t="str">
            <v>79G13PN</v>
          </cell>
          <cell r="E155" t="str">
            <v>Iglesia</v>
          </cell>
          <cell r="F155" t="str">
            <v>https://maps.app.goo.gl/tx88smPeAvgH4SfWA</v>
          </cell>
          <cell r="G155" t="str">
            <v>https://www.google.com/maps/place/Escuela+17+De+Agosto/@-30.9356055,-69.5206119,159010m/data=!3m1!1e3!4m30!1m23!4m22!1m6!1m2!1s0x968140269756b7e1:0x3c38eb6d66eb45d!2sCatamarca+Sur,+J5402+San+Juan!2m2!1d-68.5295918!2d-31.5427459!1m6!1m2!1s0x968495ce20617759:0xbd6888574a3c5361!2sEscuela+17+De+Agosto,+Iglesia,+San+Juan!2m2!1d-69.2043643!2d-30.3219363!1m6!1m2!1s0x9681402690dd76eb:0x4b283f8fe10ce3f3!2sCatamarca+Sur+664,+San+Juan!2m2!1d-68.5293761!2d-31.5426363!3e0!3m5!1s0x968495ce20617759:0xbd6888574a3c5361!8m2!3d-30.3219101!4d-69.204371!16s%2Fg%2F11clw1533r?entry=ttu&amp;g_ep=EgoyMDI1MDgxMy4wIKXMDSoASAFQAw%3D%3D</v>
          </cell>
          <cell r="H155">
            <v>360</v>
          </cell>
        </row>
        <row r="156">
          <cell r="D156" t="str">
            <v>793H9LD</v>
          </cell>
          <cell r="E156" t="str">
            <v>Santa Lucía</v>
          </cell>
          <cell r="F156" t="str">
            <v>https://maps.app.goo.gl/e1JWAVsVZyomnUcg9</v>
          </cell>
          <cell r="G156" t="str">
            <v>https://www.google.com/maps/dir/Catamarca+Sur+664,+J5402GSN+San+Juan/Escuela+Educaci%C3%B3n+Popular,+Calle+Balcarce,+Santa+Luc%C3%ADa,+San+Juan/Catamarca+Sur+664,+San+Juan/@-31.5325383,-68.5391735,9876m/data=!3m2!1e3!4b1!4m20!4m19!1m5!1m1!1s0x9681402690dd76eb:0x4b283f8fe10ce3f3!2m2!1d-68.5293761!2d-31.5426363!1m5!1m1!1s0x96816ba5f6f27531:0xb3a894976a201f82!2m2!1d-68.464924!2d-31.5102309!1m5!1m1!1s0x9681402690dd76eb:0x4b283f8fe10ce3f3!2m2!1d-68.5293761!2d-31.5426363!3e0?entry=ttu&amp;g_ep=EgoyMDI1MDgxMy4wIKXMDSoASAFQAw%3D%3D</v>
          </cell>
          <cell r="H156">
            <v>20.6</v>
          </cell>
        </row>
        <row r="157">
          <cell r="D157" t="str">
            <v>ZELLBJFK7000J5W</v>
          </cell>
          <cell r="E157" t="str">
            <v>Santa Lucía</v>
          </cell>
          <cell r="F157" t="str">
            <v>https://maps.app.goo.gl/e1JWAVsVZyomnUcg9</v>
          </cell>
          <cell r="G157" t="str">
            <v>https://www.google.com/maps/dir/Catamarca+Sur+664,+J5402GSN+San+Juan/Escuela+Educaci%C3%B3n+Popular,+Calle+Balcarce,+Santa+Luc%C3%ADa,+San+Juan/Catamarca+Sur+664,+San+Juan/@-31.5325383,-68.5391735,9876m/data=!3m2!1e3!4b1!4m20!4m19!1m5!1m1!1s0x9681402690dd76eb:0x4b283f8fe10ce3f3!2m2!1d-68.5293761!2d-31.5426363!1m5!1m1!1s0x96816ba5f6f27531:0xb3a894976a201f82!2m2!1d-68.464924!2d-31.5102309!1m5!1m1!1s0x9681402690dd76eb:0x4b283f8fe10ce3f3!2m2!1d-68.5293761!2d-31.5426363!3e0?entry=ttu&amp;g_ep=EgoyMDI1MDgxMy4wIKXMDSoASAFQAw%3D%3D</v>
          </cell>
          <cell r="H157">
            <v>20.6</v>
          </cell>
        </row>
        <row r="158">
          <cell r="D158" t="str">
            <v>79G5VKL</v>
          </cell>
          <cell r="E158" t="str">
            <v>Santa Lucía</v>
          </cell>
          <cell r="F158" t="str">
            <v>https://maps.app.goo.gl/YqP2d6GcnWRBUenXA</v>
          </cell>
          <cell r="G158" t="str">
            <v>https://www.google.com/maps/dir/Catamarca+Sur+664,+San+Juan/Escuela+Ernesto+A+Bavio,+Mendoza+Nte.+106,+J5413+Chimbas,+San+Juan/@-31.5208829,-68.5729621,9877m/data=!3m2!1e3!4b1!4m14!4m13!1m5!1m1!1s0x9681402690dd76eb:0x4b283f8fe10ce3f3!2m2!1d-68.5293761!2d-31.5426363!1m5!1m1!1s0x968141e21b995a97:0x6c4593dfbe40029c!2m2!1d-68.5313079!2d-31.4994813!3e0?entry=ttu&amp;g_ep=EgoyMDI1MDYyOS4wIKXMDSoASAFQAw%3D%3D</v>
          </cell>
          <cell r="H158">
            <v>11</v>
          </cell>
        </row>
        <row r="159">
          <cell r="D159" t="str">
            <v>793PZGP</v>
          </cell>
          <cell r="E159" t="str">
            <v>Santa Lucía</v>
          </cell>
          <cell r="F159" t="str">
            <v>https://maps.app.goo.gl/rhryZhEUAoDpY38f8</v>
          </cell>
          <cell r="G159" t="str">
            <v>https://www.google.com/maps/dir/Catamarca+Sur+664,+San+Juan/Colegio+Secundario+Juan+Pablo+Echague,+Hip%C3%B3lito+Yrigoyen+Este+3520,+J5411+Santa+Luc%C3%ADa,+San+Juan/@-31.5454202,-68.5266282,4937m/data=!3m2!1e3!4b1!4m14!4m13!1m5!1m1!1s0x9681402690dd76eb:0x4b283f8fe10ce3f3!2m2!1d-68.5293761!2d-31.5426363!1m5!1m1!1s0x96816ade9a2f81d3:0xb6b5f0fba0ba0ef9!2m2!1d-68.4823562!2d-31.5449916!3e0?entry=ttu&amp;g_ep=EgoyMDI1MDYyOS4wIKXMDSoASAFQAw%3D%3D</v>
          </cell>
          <cell r="H159">
            <v>11</v>
          </cell>
        </row>
        <row r="160">
          <cell r="D160" t="str">
            <v>79G1BYT</v>
          </cell>
          <cell r="E160" t="str">
            <v>9 de Julio.</v>
          </cell>
          <cell r="F160" t="str">
            <v>https://maps.app.goo.gl/vX236WFdhxjW4yUo6</v>
          </cell>
          <cell r="G160" t="str">
            <v>https://www.google.com/maps/dir/Catamarca+Sur+664,+San+Juan/Escuela+%22Procesa+Sarmiento+de+Lenoir%22,+Nueve+de+Julio,+San+Juan/Catamarca+Sur+664,+San+Juan/@-31.574474,-68.5372336,19742m/data=!3m2!1e3!4b1!4m20!4m19!1m5!1m1!1s0x9681402690dd76eb:0x4b283f8fe10ce3f3!2m2!1d-68.5293761!2d-31.5426363!1m5!1m1!1s0x968113fb8e211fe5:0x8461c97f5cdb0fba!2m2!1d-68.3785017!2d-31.6073618!1m5!1m1!1s0x9681402690dd76eb:0x4b283f8fe10ce3f3!2m2!1d-68.5293761!2d-31.5426363!3e0?entry=ttu&amp;g_ep=EgoyMDI1MDgxMy4wIKXMDSoASAFQAw%3D%3D</v>
          </cell>
          <cell r="H160">
            <v>35.9</v>
          </cell>
        </row>
        <row r="161">
          <cell r="D161" t="str">
            <v>ZELLBJFJA00003H</v>
          </cell>
          <cell r="E161" t="str">
            <v>Sarmiento</v>
          </cell>
          <cell r="F161" t="str">
            <v>https://maps.app.goo.gl/JmgKCfirF1rcUyBR7</v>
          </cell>
          <cell r="G161" t="str">
            <v>https://www.google.com/maps/dir/Catamarca+Sur+664,+J5402GSN+San+Juan/Escuela+Falucho,+J5431+Los+Berros,+San+Juan/Catamarca+Sur+664,+San+Juan/@-31.762373,-68.8754295,78809m/data=!3m1!1e3!4m20!4m19!1m5!1m1!1s0x9681402690dd76eb:0x4b283f8fe10ce3f3!2m2!1d-68.5293761!2d-31.5426363!1m5!1m1!1s0x9680d890b9c43d4d:0x6a4b422f924b4f87!2m2!1d-68.6505764!2d-31.9522446!1m5!1m1!1s0x9681402690dd76eb:0x4b283f8fe10ce3f3!2m2!1d-68.5293761!2d-31.5426363!3e0?entry=ttu&amp;g_ep=EgoyMDI1MDgxMy4wIKXMDSoASAFQAw%3D%3D</v>
          </cell>
          <cell r="H161">
            <v>151</v>
          </cell>
        </row>
        <row r="162">
          <cell r="D162" t="str">
            <v>ZELLBJFJA00025E</v>
          </cell>
          <cell r="E162" t="str">
            <v>Sarmiento</v>
          </cell>
          <cell r="F162" t="str">
            <v>https://maps.app.goo.gl/JmgKCfirF1rcUyBR7</v>
          </cell>
          <cell r="G162" t="str">
            <v>https://www.google.com/maps/dir/Catamarca+Sur+664,+J5402GSN+San+Juan/Escuela+Falucho,+J5431+Los+Berros,+San+Juan/Catamarca+Sur+664,+San+Juan/@-31.762373,-68.8754295,78809m/data=!3m1!1e3!4m20!4m19!1m5!1m1!1s0x9681402690dd76eb:0x4b283f8fe10ce3f3!2m2!1d-68.5293761!2d-31.5426363!1m5!1m1!1s0x9680d890b9c43d4d:0x6a4b422f924b4f87!2m2!1d-68.6505764!2d-31.9522446!1m5!1m1!1s0x9681402690dd76eb:0x4b283f8fe10ce3f3!2m2!1d-68.5293761!2d-31.5426363!3e0?entry=ttu&amp;g_ep=EgoyMDI1MDgxMy4wIKXMDSoASAFQAw%3D%3D</v>
          </cell>
          <cell r="H162">
            <v>151</v>
          </cell>
        </row>
        <row r="163">
          <cell r="D163" t="str">
            <v>ZELLBJEK30003PZ</v>
          </cell>
          <cell r="E163" t="str">
            <v>Sarmiento</v>
          </cell>
          <cell r="F163" t="str">
            <v>https://maps.app.goo.gl/Wh7cUogx9BmJNGNGA</v>
          </cell>
          <cell r="G163" t="str">
            <v>https://www.google.com/maps/dir/Catamarca+Sur+664,+J5402GSN+San+Juan/Escuela+Saturnino+Segurola,+Media+Agua,+San+Juan/Catamarca+Sur+664,+San+Juan/@-31.762792,-68.8211946,78809m/data=!3m2!1e3!4b1!4m20!4m19!1m5!1m1!1s0x9681402690dd76eb:0x4b283f8fe10ce3f3!2m2!1d-68.5293761!2d-31.5426363!1m5!1m1!1s0x9680e3fe0697b153:0x2544094514a868f5!2m2!1d-68.4228584!2d-31.9862615!1m5!1m1!1s0x9681402690dd76eb:0x4b283f8fe10ce3f3!2m2!1d-68.5293761!2d-31.5426363!3e0?entry=ttu&amp;g_ep=EgoyMDI1MDgxMy4wIKXMDSoASAFQAw%3D%3D</v>
          </cell>
          <cell r="H163">
            <v>112</v>
          </cell>
        </row>
        <row r="164">
          <cell r="D164" t="str">
            <v>07QWB9UFAA0029L</v>
          </cell>
          <cell r="E164" t="str">
            <v>Chimbas</v>
          </cell>
          <cell r="F164" t="str">
            <v>https://maps.app.goo.gl/HgPM4QsXtSkdufqB7</v>
          </cell>
          <cell r="G164" t="str">
            <v>https://www.google.com/maps/dir/Catamarca+Sur+664,+San+Juan/Escuela+Ernesto+A+Bavio,+Mendoza+Nte.+106,+J5413+Chimbas,+San+Juan/Catamarca+Sur+664,+San+Juan/@-31.5208829,-68.5711561,9877m/data=!3m1!1e3!4m20!4m19!1m5!1m1!1s0x9681402690dd76eb:0x4b283f8fe10ce3f3!2m2!1d-68.5293761!2d-31.5426363!1m5!1m1!1s0x968141e21b995a97:0x6c4593dfbe40029c!2m2!1d-68.5313079!2d-31.4994813!1m5!1m1!1s0x9681402690dd76eb:0x4b283f8fe10ce3f3!2m2!1d-68.5293761!2d-31.5426363!3e0?entry=ttu&amp;g_ep=EgoyMDI1MDgxMy4wIKXMDSoASAFQAw%3D%3D</v>
          </cell>
          <cell r="H164">
            <v>10.6</v>
          </cell>
        </row>
        <row r="165">
          <cell r="D165" t="str">
            <v>ZELLBJFK700006H</v>
          </cell>
          <cell r="E165" t="str">
            <v>Capital</v>
          </cell>
          <cell r="F165" t="str">
            <v>https://maps.app.goo.gl/nCvaZWzXfXb6G2qb7</v>
          </cell>
          <cell r="G165" t="str">
            <v>https://www.google.com/maps/dir/Catamarca+Sur+664,+San+Juan/Escuela+9+de+Julio+-+Primaria,+Bernardo+de+Monteagudo+902-950,+J5400+San+Juan/@-31.5292982,-68.5457805,4938m/data=!3m2!1e3!4b1!4m14!4m13!1m5!1m1!1s0x9681402690dd76eb:0x4b283f8fe10ce3f3!2m2!1d-68.5293761!2d-31.5426363!1m5!1m1!1s0x96816b9d37ae74c5:0xffadd456be9b205f!2m2!1d-68.5146062!2d-31.5176879!3e0?entry=ttu&amp;g_ep=EgoyMDI1MDYyOS4wIKXMDSoASAFQAw%3D%3D</v>
          </cell>
          <cell r="H165">
            <v>10</v>
          </cell>
        </row>
        <row r="166">
          <cell r="D166" t="str">
            <v>ZELLBJFJB0005SV</v>
          </cell>
          <cell r="E166" t="str">
            <v>Chimbas</v>
          </cell>
          <cell r="F166" t="str">
            <v>https://maps.app.goo.gl/HgPM4QsXtSkdufqB7</v>
          </cell>
          <cell r="G166" t="str">
            <v>https://www.google.com/maps/dir/Catamarca+Sur+664,+San+Juan/Escuela+Ernesto+A+Bavio,+Mendoza+Nte.+106,+J5413+Chimbas,+San+Juan/Catamarca+Sur+664,+San+Juan/@-31.5208829,-68.5711561,9877m/data=!3m1!1e3!4m20!4m19!1m5!1m1!1s0x9681402690dd76eb:0x4b283f8fe10ce3f3!2m2!1d-68.5293761!2d-31.5426363!1m5!1m1!1s0x968141e21b995a97:0x6c4593dfbe40029c!2m2!1d-68.5313079!2d-31.4994813!1m5!1m1!1s0x9681402690dd76eb:0x4b283f8fe10ce3f3!2m2!1d-68.5293761!2d-31.5426363!3e0?entry=ttu&amp;g_ep=EgoyMDI1MDgxMy4wIKXMDSoASAFQAw%3D%3D</v>
          </cell>
          <cell r="H166">
            <v>10.6</v>
          </cell>
        </row>
        <row r="167">
          <cell r="D167" t="str">
            <v>ZELLBJFJA00024J</v>
          </cell>
          <cell r="E167" t="str">
            <v>Chimbas</v>
          </cell>
          <cell r="F167" t="str">
            <v>https://maps.app.goo.gl/E5xKZRdkReGJnT166</v>
          </cell>
          <cell r="G167" t="str">
            <v>https://www.google.com/maps/dir/Catamarca+Sur+664,+San+Juan/Escuela+Jorge+Luis+Borges,+C.+Chubut+Oeste+102,+J5400+Chimbas,+San+Juan/Catamarca+Sur+664,+San+Juan/@-31.5271578,-68.5543593,4938m/data=!3m2!1e3!4b1!4m20!4m19!1m5!1m1!1s0x9681402690dd76eb:0x4b283f8fe10ce3f3!2m2!1d-68.5293761!2d-31.5426363!1m5!1m1!1s0x968141dce2e77c4d:0x149ea362d9ac7e30!2m2!1d-68.5344983!2d-31.5098756!1m5!1m1!1s0x9681402690dd76eb:0x4b283f8fe10ce3f3!2m2!1d-68.5293761!2d-31.5426363!3e0?entry=ttu&amp;g_ep=EgoyMDI1MDgxMy4wIKXMDSoASAFQAw%3D%3D</v>
          </cell>
          <cell r="H167">
            <v>9.1999999999999993</v>
          </cell>
        </row>
        <row r="168">
          <cell r="D168" t="str">
            <v>ZELLBJFK9000HEB</v>
          </cell>
          <cell r="E168" t="str">
            <v>Sarmiento</v>
          </cell>
          <cell r="F168" t="str">
            <v>https://maps.app.goo.gl/CPux1iAygaNMHPfA6</v>
          </cell>
          <cell r="G168" t="str">
            <v>https://www.google.com/maps/dir/Catamarca+Sur+664,+San+Juan/Escuela+Dr+Albert+Einstein,+RP+318,+Ca%C3%B1ada+Honda,+San+Juan/Catamarca+Sur+664,+San+Juan/@-31.7624425,-68.8298241,78809m/data=!3m2!1e3!4b1!4m20!4m19!1m5!1m1!1s0x9681402690dd76eb:0x4b283f8fe10ce3f3!2m2!1d-68.5293761!2d-31.5426363!1m5!1m1!1s0x9680dfd347060dad:0x422f7bb38c50024a!2m2!1d-68.5487281!2d-31.9855765!1m5!1m1!1s0x9681402690dd76eb:0x4b283f8fe10ce3f3!2m2!1d-68.5293761!2d-31.5426363!3e0?entry=ttu&amp;g_ep=EgoyMDI1MDgxMy4wIKXMDSoASAFQAw%3D%3D</v>
          </cell>
          <cell r="H168">
            <v>129</v>
          </cell>
        </row>
        <row r="169">
          <cell r="D169" t="str">
            <v>ZELLBJFK400044Y</v>
          </cell>
          <cell r="E169" t="str">
            <v>Chimbas</v>
          </cell>
          <cell r="F169" t="str">
            <v>https://maps.app.goo.gl/qUH2xUW3ChACnCwj8</v>
          </cell>
          <cell r="G169" t="str">
            <v>https://www.google.com/maps/dir/Catamarca+Sur,+J5402+San+Juan/Escuela+Arturo+Capdevila,+Arenales+de+Aparicio+y+Fernandez+Barrientos,+Chimbas,+San+Juan/Catamarca+Sur+664,+San+Juan/@-31.5180313,-68.5553652,9877m/data=!3m2!1e3!4b1!4m25!4m24!1m10!1m1!1s0x968140269756b7e1:0x3c38eb6d66eb45d!2m2!1d-68.5295918!2d-31.5427459!3m4!1m2!1d-68.5339979!2d-31.5457813!3s0x9681402377be3f13:0x540180bf0cf42103!1m5!1m1!1s0x968141aa246fa361:0x13dbd59a1cd301ef!2m2!1d-68.492474!2d-31.4812169!1m5!1m1!1s0x9681402690dd76eb:0x4b283f8fe10ce3f3!2m2!1d-68.5293761!2d-31.5426363!3e0?entry=ttu&amp;g_ep=EgoyMDI1MDgxMy4wIKXMDSoASAFQAw%3D%3D</v>
          </cell>
          <cell r="H169">
            <v>26.8</v>
          </cell>
        </row>
        <row r="170">
          <cell r="D170" t="str">
            <v>ZELLBJFK900060B</v>
          </cell>
          <cell r="E170" t="str">
            <v>Chimbas</v>
          </cell>
          <cell r="F170" t="str">
            <v>https://maps.google.com/maps?q=-31.5077223%2C-68.5870087&amp;z=17&amp;hl=es</v>
          </cell>
          <cell r="G170" t="str">
            <v>https://www.google.com/maps/dir/Catamarca+Sur+664,+San+Juan/Jardincito,+Chimbas,+San+Juan/Catamarca+Sur+664,+San+Juan/@-31.5288063,-68.5996352,9876m/data=!3m2!1e3!4b1!4m20!4m19!1m5!1m1!1s0x9681402690dd76eb:0x4b283f8fe10ce3f3!2m2!1d-68.5293761!2d-31.5426363!1m5!1m1!1s0x968141007114f7d9:0xbd3acf3c684bb9fc!2m2!1d-68.5873493!2d-31.5079576!1m5!1m1!1s0x9681402690dd76eb:0x4b283f8fe10ce3f3!2m2!1d-68.5293761!2d-31.5426363!3e0?hl=es&amp;entry=ttu&amp;g_ep=EgoyMDI1MDgxMy4wIKXMDSoASAFQAw%3D%3D</v>
          </cell>
          <cell r="H170">
            <v>22.4</v>
          </cell>
        </row>
        <row r="171">
          <cell r="D171" t="str">
            <v>ZELLBJFJB0006DT</v>
          </cell>
          <cell r="E171" t="str">
            <v>Rawson</v>
          </cell>
          <cell r="F171" t="str">
            <v>https://maps.app.goo.gl/9A3Pp2KEE3MvBJPC7</v>
          </cell>
          <cell r="G171" t="str">
            <v>https://www.google.com/maps/dir/Catamarca+Sur+664,+San+Juan/E.N.I.+N%C2%BA+51+Tiempo+de+Sol,+J5425+Villa+Krause,+San+Juan/Catamarca+Sur+664,+San+Juan/@-31.5578908,-68.5435656,4936m/data=!3m2!1e3!4b1!4m20!4m19!1m5!1m1!1s0x9681402690dd76eb:0x4b283f8fe10ce3f3!2m2!1d-68.5293761!2d-31.5426363!1m5!1m1!1s0x96813f9d467a50b9:0xae28f7ee2c6be409!2m2!1d-68.5259466!2d-31.5735474!1m5!1m1!1s0x9681402690dd76eb:0x4b283f8fe10ce3f3!2m2!1d-68.5293761!2d-31.5426363!3e0?entry=ttu&amp;g_ep=EgoyMDI1MDgxMy4wIKXMDSoASAFQAw%3D%3D</v>
          </cell>
          <cell r="H171">
            <v>9.6999999999999993</v>
          </cell>
        </row>
        <row r="172">
          <cell r="D172" t="str">
            <v>0ACTBJFJ500010Y</v>
          </cell>
          <cell r="E172" t="str">
            <v>25 de Mayo.</v>
          </cell>
          <cell r="F172" t="str">
            <v>https://maps.app.goo.gl/Yq9nchEDyGwkvs249</v>
          </cell>
          <cell r="G172" t="str">
            <v>https://www.google.com/maps/dir/Catamarca+Sur+664,+San+Juan/Escuela+Juan+Ignacio+Gorriti,+San+Juan/Catamarca+Sur+664,+San+Juan/@-31.6854951,-68.5270013,39437m/data=!3m1!1e3!4m20!4m19!1m5!1m1!1s0x9681402690dd76eb:0x4b283f8fe10ce3f3!2m2!1d-68.5293761!2d-31.5426363!1m5!1m1!1s0x968101a1ad6df103:0xca680ba030b56b53!2m2!1d-68.2260848!2d-31.8302461!1m5!1m1!1s0x9681402690dd76eb:0x4b283f8fe10ce3f3!2m2!1d-68.5293761!2d-31.5426363!3e0?entry=ttu&amp;g_ep=EgoyMDI1MDgxMy4wIKXMDSoASAFQAw%3D%3D</v>
          </cell>
          <cell r="H172">
            <v>111</v>
          </cell>
        </row>
        <row r="173">
          <cell r="D173" t="str">
            <v>076UBJFJA0005TV</v>
          </cell>
          <cell r="E173" t="str">
            <v>Capital</v>
          </cell>
          <cell r="F173" t="str">
            <v>https://maps.app.goo.gl/tw28XPb79QL7mTW39</v>
          </cell>
          <cell r="G173"/>
          <cell r="H173"/>
        </row>
        <row r="174">
          <cell r="D174" t="str">
            <v>076UBJFH10000QJ</v>
          </cell>
          <cell r="E174" t="str">
            <v>Capital</v>
          </cell>
          <cell r="F174"/>
          <cell r="G174"/>
          <cell r="H174"/>
        </row>
        <row r="175">
          <cell r="D175" t="str">
            <v>0ACTBJFHB00019W</v>
          </cell>
          <cell r="E175" t="str">
            <v>25 de Mayo.</v>
          </cell>
          <cell r="F175" t="str">
            <v>https://maps.app.goo.gl/gPxUEo3eShSeWpre8</v>
          </cell>
          <cell r="G175" t="str">
            <v>https://www.google.com/maps/dir/Catamarca+Sur+664,+San+Juan/Bartolome+Del+Bono,+San+Juan/Catamarca+Sur+664,+San+Juan/@-31.6818845,-68.5761041,39439m/data=!3m2!1e3!4b1!4m20!4m19!1m5!1m1!1s0x9681402690dd76eb:0x4b283f8fe10ce3f3!2m2!1d-68.5293761!2d-31.5426363!1m5!1m1!1s0x968103060f9848d7:0x45a04d443e384ee!2m2!1d-68.2915943!2d-31.8232407!1m5!1m1!1s0x9681402690dd76eb:0x4b283f8fe10ce3f3!2m2!1d-68.5293761!2d-31.5426363!3e0?entry=ttu&amp;g_ep=EgoyMDI1MDgxMy4wIKXMDSoASAFQAw%3D%3D</v>
          </cell>
          <cell r="H175">
            <v>96.1</v>
          </cell>
        </row>
        <row r="176">
          <cell r="D176" t="str">
            <v>076UBJFH10007EM</v>
          </cell>
          <cell r="E176" t="str">
            <v>25 de Mayo.</v>
          </cell>
          <cell r="F176" t="str">
            <v>https://maps.app.goo.gl/4X4VpEpCugfRqnto8</v>
          </cell>
          <cell r="G176" t="str">
            <v>https://www.google.com/maps/dir/Catamarca+Sur+664,+San+Juan/Escuela+Florencia+Nightingale,+La+Chimbera,+San+Juan/Catamarca+Sur+664,+San+Juan/@-31.6846801,-68.557716,39438m/data=!3m2!1e3!4b1!4m20!4m19!1m5!1m1!1s0x9681402690dd76eb:0x4b283f8fe10ce3f3!2m2!1d-68.5293761!2d-31.5426363!1m5!1m1!1s0x9681038bb2ca75e1:0xd6b4ade33c666da2!2m2!1d-68.254643!2d-31.8286405!1m5!1m1!1s0x9681402690dd76eb:0x4b283f8fe10ce3f3!2m2!1d-68.5293761!2d-31.5426363!3e0?entry=ttu&amp;g_ep=EgoyMDI1MDgxMy4wIKXMDSoASAFQAw%3D%3D</v>
          </cell>
          <cell r="H176">
            <v>103</v>
          </cell>
        </row>
        <row r="177">
          <cell r="D177" t="str">
            <v>0ACTBJFH900038V</v>
          </cell>
          <cell r="E177" t="str">
            <v>San Martín</v>
          </cell>
          <cell r="F177" t="str">
            <v>https://maps.app.goo.gl/tGUDW9ptScAyj9vh7</v>
          </cell>
          <cell r="G177" t="str">
            <v>https://www.google.com/maps/dir/Catamarca+Sur+664,+J5402GSN+San+Juan/Escuela+Dominguito,+Independencia,+Villa+Dominguito,+San+Juan/Catamarca+Sur+664,+San+Juan/@-31.5810632,-68.4979123,19741m/data=!3m2!1e3!4b1!4m20!4m19!1m5!1m1!1s0x9681402690dd76eb:0x4b283f8fe10ce3f3!2m2!1d-68.5293761!2d-31.5426363!1m5!1m1!1s0x96810d6097c2ad09:0x62120dc8ce8d04e1!2m2!1d-68.2999597!2d-31.5598657!1m5!1m1!1s0x9681402690dd76eb:0x4b283f8fe10ce3f3!2m2!1d-68.5293761!2d-31.5426363!3e0?entry=ttu&amp;g_ep=EgoyMDI1MDgxMy4wIKXMDSoASAFQAw%3D%3D</v>
          </cell>
          <cell r="H177">
            <v>63.5</v>
          </cell>
        </row>
        <row r="178">
          <cell r="D178" t="str">
            <v>076UBJFJA0004ET</v>
          </cell>
          <cell r="E178" t="str">
            <v>25 de Mayo.</v>
          </cell>
          <cell r="F178" t="str">
            <v>https://maps.app.goo.gl/HE1fsmLBiT8CjKPq9</v>
          </cell>
          <cell r="G178" t="str">
            <v>https://www.google.com/maps/dir/Catamarca+Sur,+J5402+San+Juan/Escuela+Prilidiano+Pueyrred%C3%B3n,+Las+Casuarinas+25+De+Mayo,+RP279,+Las+Casuarinas,+San+Juan/Catamarca+Sur+664,+San+Juan/@-31.6787005,-68.5924059,39440m/data=!3m2!1e3!4b1!4m20!4m19!1m5!1m1!1s0x968140269756b7e1:0x3c38eb6d66eb45d!2m2!1d-68.5295918!2d-31.5427459!1m5!1m1!1s0x968103483af09221:0xa88b6f08b39f753f!2m2!1d-68.3240227!2d-31.8168292!1m5!1m1!1s0x9681402690dd76eb:0x4b283f8fe10ce3f3!2m2!1d-68.5293761!2d-31.5426363!3e0?entry=ttu&amp;g_ep=EgoyMDI1MDgxMy4wIKXMDSoASAFQAw%3D%3D</v>
          </cell>
          <cell r="H178">
            <v>89.8</v>
          </cell>
        </row>
        <row r="179">
          <cell r="D179" t="str">
            <v>076UBJFG80008YP</v>
          </cell>
          <cell r="E179" t="str">
            <v>Capital</v>
          </cell>
          <cell r="F179" t="str">
            <v>https://maps.app.goo.gl/GtCvJZMDCRgu8DLa8</v>
          </cell>
          <cell r="G179" t="str">
            <v>https://www.google.com/maps/dir/Catamarca+Sur+664,+San+Juan/Escuela+Provincia+de+Buenos+Aires,+Gral.+Jos%C3%A9+Mar%C3%ADa+Paz+Oeste+1046,+J5402+AJT,+San+Juan/Catamarca+Sur+664,+San+Juan/@-31.5426308,-68.5406426,1234m/data=!3m2!1e3!4b1!4m20!4m19!1m5!1m1!1s0x9681402690dd76eb:0x4b283f8fe10ce3f3!2m2!1d-68.5293761!2d-31.5426363!1m5!1m1!1s0x96814104b2025bf3:0xdeac2654aa5cfbea!2m2!1d-68.5405544!2d-31.5428716!1m5!1m1!1s0x9681402690dd76eb:0x4b283f8fe10ce3f3!2m2!1d-68.5293761!2d-31.5426363!3e0?entry=ttu&amp;g_ep=EgoyMDI1MDgxMy4wIKXMDSoASAFQAw%3D%3D</v>
          </cell>
          <cell r="H179">
            <v>3.1</v>
          </cell>
        </row>
        <row r="180">
          <cell r="D180" t="str">
            <v>0ACTBJFJ50001SN</v>
          </cell>
          <cell r="E180" t="str">
            <v>Sam Martín</v>
          </cell>
          <cell r="F180" t="str">
            <v>https://maps.app.goo.gl/DzpD3cj6JKLnGxKGA</v>
          </cell>
          <cell r="G180" t="str">
            <v>https://www.google.com/maps/dir/Catamarca+Sur,+J5402+San+Juan/Escuela+Autonom%C3%ADa+Ciudad+de+Bail%C3%A9n,+RP170,+San+Juan/Catamarca+Sur+664,+San+Juan/@-31.5465301,-68.5065348,9874m/data=!3m2!1e3!4b1!4m20!4m19!1m5!1m1!1s0x968140269756b7e1:0x3c38eb6d66eb45d!2m2!1d-68.5295918!2d-31.5427459!1m5!1m1!1s0x96816dcb1b0c8b57:0x70e6dde38a4feea9!2m2!1d-68.3995121!2d-31.5350009!1m5!1m1!1s0x9681402690dd76eb:0x4b283f8fe10ce3f3!2m2!1d-68.5293761!2d-31.5426363!3e0?entry=ttu&amp;g_ep=EgoyMDI1MDgxMy4wIKXMDSoASAFQAw%3D%3D</v>
          </cell>
          <cell r="H180">
            <v>35.4</v>
          </cell>
        </row>
        <row r="181">
          <cell r="D181" t="str">
            <v>076UBJFH300034A</v>
          </cell>
          <cell r="E181" t="str">
            <v>25 de Mayo.</v>
          </cell>
          <cell r="F181" t="str">
            <v>https://maps.app.goo.gl/vR4SxEVpgpp7LXxE7</v>
          </cell>
          <cell r="G181" t="str">
            <v>https://www.google.com/maps/dir/Catamarca+Sur+664,+San+Juan/Escuela+Florencia+Nightingale,+La+Chimbera,+San+Juan/Catamarca+Sur+664,+San+Juan/@-31.6846801,-68.557716,39438m/data=!3m1!1e3!4m20!4m19!1m5!1m1!1s0x9681402690dd76eb:0x4b283f8fe10ce3f3!2m2!1d-68.5293761!2d-31.5426363!1m5!1m1!1s0x9681038bb2ca75e1:0xd6b4ade33c666da2!2m2!1d-68.254643!2d-31.8286405!1m5!1m1!1s0x9681402690dd76eb:0x4b283f8fe10ce3f3!2m2!1d-68.5293761!2d-31.5426363!3e0?entry=ttu&amp;g_ep=EgoyMDI1MDgxMy4wIKXMDSoASAFQAw%3D%3D</v>
          </cell>
          <cell r="H181">
            <v>103</v>
          </cell>
        </row>
        <row r="182">
          <cell r="D182" t="str">
            <v>0ACTBJFK200025J</v>
          </cell>
          <cell r="E182" t="str">
            <v>Capital</v>
          </cell>
          <cell r="F182" t="str">
            <v>https://maps.app.goo.gl/hvwtMarFRyLiVtU36</v>
          </cell>
          <cell r="G182"/>
          <cell r="H182">
            <v>5</v>
          </cell>
        </row>
        <row r="183">
          <cell r="D183" t="str">
            <v>076UBJFH20000FT</v>
          </cell>
          <cell r="E183" t="str">
            <v>San Martín</v>
          </cell>
          <cell r="F183" t="str">
            <v>https://maps.app.goo.gl/rKVYWmGemKS3oY877</v>
          </cell>
          <cell r="G183" t="str">
            <v>https://www.google.com/maps/dir/Catamarca+Sur+664,+San+Juan/Escuela+Juan+Larrea+E.M.E.R,+San+Isidro,+San+Juan/Catamarca+Sur+664,+San+Juan/@-31.516338,-68.5124528,19755m/data=!3m2!1e3!4b1!4m20!4m19!1m5!1m1!1s0x9681402690dd76eb:0x4b283f8fe10ce3f3!2m2!1d-68.5293761!2d-31.5426363!1m5!1m1!1s0x9681727d0414f8e1:0xc1d4c8923c3f7c8b!2m2!1d-68.3245774!2d-31.4894476!1m5!1m1!1s0x9681402690dd76eb:0x4b283f8fe10ce3f3!2m2!1d-68.5293761!2d-31.5426363!3e0?hl=es&amp;entry=ttu&amp;g_ep=EgoyMDI1MDgxMy4wIKXMDSoASAFQAw%3D%3D</v>
          </cell>
          <cell r="H183">
            <v>55.7</v>
          </cell>
        </row>
        <row r="184">
          <cell r="D184" t="str">
            <v>076UBJFJA0008FP</v>
          </cell>
          <cell r="E184" t="str">
            <v>San Martín</v>
          </cell>
          <cell r="F184" t="str">
            <v>https://maps.app.goo.gl/rKVYWmGemKS3oY877</v>
          </cell>
          <cell r="G184" t="str">
            <v>https://www.google.com/maps/dir/Catamarca+Sur+664,+San+Juan/Escuela+Juan+Larrea+E.M.E.R,+San+Isidro,+San+Juan/Catamarca+Sur+664,+San+Juan/@-31.516338,-68.5124528,19755m/data=!3m2!1e3!4b1!4m20!4m19!1m5!1m1!1s0x9681402690dd76eb:0x4b283f8fe10ce3f3!2m2!1d-68.5293761!2d-31.5426363!1m5!1m1!1s0x9681727d0414f8e1:0xc1d4c8923c3f7c8b!2m2!1d-68.3245774!2d-31.4894476!1m5!1m1!1s0x9681402690dd76eb:0x4b283f8fe10ce3f3!2m2!1d-68.5293761!2d-31.5426363!3e0?hl=es&amp;entry=ttu&amp;g_ep=EgoyMDI1MDgxMy4wIKXMDSoASAFQAw%3D%3D</v>
          </cell>
          <cell r="H184">
            <v>55.7</v>
          </cell>
        </row>
        <row r="185">
          <cell r="D185" t="str">
            <v>076UBJFJA0007GN</v>
          </cell>
          <cell r="E185" t="str">
            <v>Capital</v>
          </cell>
          <cell r="F185" t="str">
            <v>https://maps.app.goo.gl/b7obQwpjn73r5oDZ8</v>
          </cell>
          <cell r="G185" t="str">
            <v>https://www.google.com/maps/dir/Catamarca+Sur+664,+San+Juan/Jard%C3%ADn+de+Infantes+Bienvenida+Sarmiento,+Francisco+N.+Laprida+Oeste+440,+J5402+San+Juan/Catamarca+Sur+664,+San+Juan/@-31.5401289,-68.5373881,1234m/data=!3m2!1e3!4b1!4m20!4m19!1m5!1m1!1s0x9681402690dd76eb:0x4b283f8fe10ce3f3!2m2!1d-68.5293761!2d-31.5426363!1m5!1m1!1s0x9681414b6bbc969f:0xee2a607289025915!2m2!1d-68.5324694!2d-31.53578!1m5!1m1!1s0x9681402690dd76eb:0x4b283f8fe10ce3f3!2m2!1d-68.5293761!2d-31.5426363!3e0?entry=ttu&amp;g_ep=EgoyMDI1MDgxMy4wIKXMDSoASAFQAw%3D%3D</v>
          </cell>
          <cell r="H185">
            <v>3</v>
          </cell>
        </row>
        <row r="186">
          <cell r="D186" t="str">
            <v>0ACTBJFH90004FJ</v>
          </cell>
          <cell r="E186" t="str">
            <v>Chimbas</v>
          </cell>
          <cell r="F186" t="str">
            <v>https://maps.app.goo.gl/onPxMCNwR1B8e2NL8</v>
          </cell>
          <cell r="G186" t="str">
            <v>https://www.google.com/maps/dir/Catamarca+Sur+664,+San+Juan/Escuela+Enrique+Pestalozzi,+J5413+Chimbas,+San+Juan/Catamarca+Sur+664,+San+Juan/@-31.5264543,-68.5895993,9876m/data=!3m2!1e3!4b1!4m20!4m19!1m5!1m1!1s0x9681402690dd76eb:0x4b283f8fe10ce3f3!2m2!1d-68.5293761!2d-31.5426363!1m5!1m1!1s0x9681416445c167f7:0x7859ebc848291332!2m2!1d-68.5645761!2d-31.498638!1m5!1m1!1s0x9681402690dd76eb:0x4b283f8fe10ce3f3!2m2!1d-68.5293761!2d-31.5426363!3e0?entry=ttu&amp;g_ep=EgoyMDI1MDgxMy4wIKXMDSoASAFQAw%3D%3D</v>
          </cell>
          <cell r="H186">
            <v>18.8</v>
          </cell>
        </row>
        <row r="187">
          <cell r="D187" t="str">
            <v>0ACTBJFJ50000WW</v>
          </cell>
          <cell r="E187" t="str">
            <v>Chimbas</v>
          </cell>
          <cell r="F187" t="str">
            <v>https://maps.app.goo.gl/onPxMCNwR1B8e2NL8</v>
          </cell>
          <cell r="G187" t="str">
            <v>https://www.google.com/maps/dir/Catamarca+Sur+664,+San+Juan/Escuela+Enrique+Pestalozzi,+J5413+Chimbas,+San+Juan/Catamarca+Sur+664,+San+Juan/@-31.5264543,-68.5895993,9876m/data=!3m2!1e3!4b1!4m20!4m19!1m5!1m1!1s0x9681402690dd76eb:0x4b283f8fe10ce3f3!2m2!1d-68.5293761!2d-31.5426363!1m5!1m1!1s0x9681416445c167f7:0x7859ebc848291332!2m2!1d-68.5645761!2d-31.498638!1m5!1m1!1s0x9681402690dd76eb:0x4b283f8fe10ce3f3!2m2!1d-68.5293761!2d-31.5426363!3e0?entry=ttu&amp;g_ep=EgoyMDI1MDgxMy4wIKXMDSoASAFQAw%3D%3D</v>
          </cell>
          <cell r="H187">
            <v>18.8</v>
          </cell>
        </row>
        <row r="188">
          <cell r="D188" t="str">
            <v>0ACTBJFJ40003HB</v>
          </cell>
          <cell r="E188" t="str">
            <v>Chimbas</v>
          </cell>
          <cell r="F188" t="str">
            <v>https://maps.app.goo.gl/qL4TyBaFeSRyLpYj9</v>
          </cell>
          <cell r="G188" t="str">
            <v>https://www.google.com/maps/dir/Catamarca+Sur+664,+San+Juan/E.N.I.+N%C2%BA+55,+J5413+Chimbas,+San+Juan/Catamarca+Sur+664,+San+Juan/@-31.5318885,-68.6028332,9876m/data=!3m2!1e3!4b1!4m20!4m19!1m5!1m1!1s0x9681402690dd76eb:0x4b283f8fe10ce3f3!2m2!1d-68.5293761!2d-31.5426363!1m5!1m1!1s0x96814134af21c46b:0x6bb452fed7b24d1b!2m2!1d-68.5938904!2d-31.5086033!1m5!1m1!1s0x9681402690dd76eb:0x4b283f8fe10ce3f3!2m2!1d-68.5293761!2d-31.5426363!3e0?entry=ttu&amp;g_ep=EgoyMDI1MDgxMy4wIKXMDSoASAFQAw%3D%3D</v>
          </cell>
          <cell r="H188">
            <v>21.1</v>
          </cell>
        </row>
        <row r="189">
          <cell r="D189" t="str">
            <v>0ACTBJFHB00009L</v>
          </cell>
          <cell r="E189" t="str">
            <v>Pocito</v>
          </cell>
          <cell r="F189" t="str">
            <v>https://maps.app.goo.gl/Hsctn7fjWWUVRJ8K8</v>
          </cell>
          <cell r="G189" t="str">
            <v>https://www.google.com/maps/dir/Catamarca+Sur+664,+San+Juan/Escuela+Ing.+Marcos+Zalazar,+J5427+Villa+Aberastain,+San+Juan/Catamarca+Sur+664,+San+Juan/@-31.5991995,-68.6297751,19737m/data=!3m2!1e3!4b1!4m20!4m19!1m5!1m1!1s0x9681402690dd76eb:0x4b283f8fe10ce3f3!2m2!1d-68.5293761!2d-31.5426363!1m5!1m1!1s0x96813e859413ff4d:0x4ad04c1e79427a62!2m2!1d-68.5801594!2d-31.6573819!1m5!1m1!1s0x9681402690dd76eb:0x4b283f8fe10ce3f3!2m2!1d-68.5293761!2d-31.5426363!3e0?entry=ttu&amp;g_ep=EgoyMDI1MDgxMy4wIKXMDSoASAFQAw%3D%3D</v>
          </cell>
          <cell r="H189">
            <v>37.799999999999997</v>
          </cell>
        </row>
        <row r="190">
          <cell r="D190" t="str">
            <v>0ACTBJFJ50002MP</v>
          </cell>
          <cell r="E190" t="str">
            <v>Pocito</v>
          </cell>
          <cell r="F190" t="str">
            <v>https://maps.app.goo.gl/wmChzd9zVEZuKBbk6</v>
          </cell>
          <cell r="G190" t="str">
            <v>https://www.google.com/maps/dir/Catamarca+Sur+664,+San+Juan/Escuela+Luis+Vernet,+C.+15,+San+Juan/Catamarca+Sur+664,+San+Juan/@-31.6230825,-68.6287164,19732m/data=!3m2!1e3!4b1!4m20!4m19!1m5!1m1!1s0x9681402690dd76eb:0x4b283f8fe10ce3f3!2m2!1d-68.5293761!2d-31.5426363!1m5!1m1!1s0x96813d0e5626d1bb:0x42c19a0f8390d0a1!2m2!1d-68.5789976!2d-31.7048969!1m5!1m1!1s0x9681402690dd76eb:0x4b283f8fe10ce3f3!2m2!1d-68.5293761!2d-31.5426363!3e0?entry=ttu&amp;g_ep=EgoyMDI1MDgxMy4wIKXMDSoASAFQAw%3D%3D</v>
          </cell>
          <cell r="H190">
            <v>45.6</v>
          </cell>
        </row>
        <row r="191">
          <cell r="D191" t="str">
            <v>0ACTBJFK20003HZ</v>
          </cell>
          <cell r="E191" t="str">
            <v>Albardón</v>
          </cell>
          <cell r="F191" t="str">
            <v>https://maps.app.goo.gl/U1gTS4rvGKA83kDfA</v>
          </cell>
          <cell r="G191" t="str">
            <v>https://www.google.com/maps/dir/Catamarca+Sur+664,+San+Juan/Escuela+Benita+D%C3%A1vila+de+los+R%C3%ADos,+Ronc%C3%B3n+y+Esquiu,+San+Juan/Catamarca+Sur+664,+San+Juan/@-31.4981147,-68.6058633,19758m/data=!3m2!1e3!4b1!4m20!4m19!1m5!1m1!1s0x9681402690dd76eb:0x4b283f8fe10ce3f3!2m2!1d-68.5293761!2d-31.5426363!1m5!1m1!1s0x96814261e3be3319:0xca5302059a00ed87!2m2!1d-68.5436049!2d-31.4434462!1m5!1m1!1s0x9681402690dd76eb:0x4b283f8fe10ce3f3!2m2!1d-68.5293761!2d-31.5426363!3e0?entry=ttu&amp;g_ep=EgoyMDI1MDgxMy4wIKXMDSoASAFQAw%3D%3D</v>
          </cell>
          <cell r="H191">
            <v>35.700000000000003</v>
          </cell>
        </row>
        <row r="192">
          <cell r="D192" t="str">
            <v>0ACTBJFK200011F</v>
          </cell>
          <cell r="E192" t="str">
            <v>Albardón</v>
          </cell>
          <cell r="F192" t="str">
            <v>https://maps.app.goo.gl/6rB9tYyMcYpUBWGs5</v>
          </cell>
          <cell r="G192" t="str">
            <v>https://www.google.com/maps/dir/Catamarca+Sur+664,+San+Juan/Escuela+Vicente+Lopez+y+Planes,+La+Laja+2523,+J5419+Albard%C3%B3n,+San+Juan/Catamarca+Sur+664,+San+Juan/@-31.4847148,-68.5966544,19761m/data=!3m2!1e3!4b1!4m20!4m19!1m5!1m1!1s0x9681402690dd76eb:0x4b283f8fe10ce3f3!2m2!1d-68.5293761!2d-31.5426363!1m5!1m1!1s0x968168424dbd94a1:0x9d22a4e66bd556ac!2m2!1d-68.4927497!2d-31.4147996!1m5!1m1!1s0x9681402690dd76eb:0x4b283f8fe10ce3f3!2m2!1d-68.5293761!2d-31.5426363!3e0?entry=ttu&amp;g_ep=EgoyMDI1MDgxMy4wIKXMDSoASAFQAw%3D%3D</v>
          </cell>
          <cell r="H192">
            <v>40.4</v>
          </cell>
        </row>
        <row r="193">
          <cell r="D193" t="str">
            <v>0ACTBJFJ40002ZJ</v>
          </cell>
          <cell r="E193" t="str">
            <v>Pocito</v>
          </cell>
          <cell r="F193" t="str">
            <v>https://maps.app.goo.gl/get3TaAJUG7P8TVx8</v>
          </cell>
          <cell r="G193" t="str">
            <v>https://www.google.com/maps/dir/Catamarca+Sur+664,+San+Juan/E.N.I.+N%C2%BA+27+Julio+Cort%C3%A1zar,+Villa+Aberastain,+San+Juan/Catamarca+Sur+664,+San+Juan/@-31.6022516,-68.6309966,19736m/data=!3m2!1e3!4b1!4m20!4m19!1m5!1m1!1s0x9681402690dd76eb:0x4b283f8fe10ce3f3!2m2!1d-68.5293761!2d-31.5426363!1m5!1m1!1s0x96813e85457b1073:0xd43059f43d803c6e!2m2!1d-68.5835579!2d-31.6577907!1m5!1m1!1s0x9681402690dd76eb:0x4b283f8fe10ce3f3!2m2!1d-68.5293761!2d-31.5426363!3e0?entry=ttu&amp;g_ep=EgoyMDI1MDgxMy4wIKXMDSoASAFQAw%3D%3D</v>
          </cell>
          <cell r="H193">
            <v>38.4</v>
          </cell>
        </row>
        <row r="194">
          <cell r="D194" t="str">
            <v>0ACTBJFK20004FD</v>
          </cell>
          <cell r="E194" t="str">
            <v>Pocito</v>
          </cell>
          <cell r="F194" t="str">
            <v>https://maps.app.goo.gl/1UBKpxAwPYkNALUr5</v>
          </cell>
          <cell r="G194" t="str">
            <v>https://www.google.com/maps/dir/Catamarca+Sur+664,+San+Juan/Escuela+Pedro+%C3%81lvarez,+Pocito,+San+Juan/Catamarca+Sur+664,+San+Juan/@-31.6158028,-68.6132655,19733m/data=!3m2!1e3!4b1!4m20!4m19!1m5!1m1!1s0x9681402690dd76eb:0x4b283f8fe10ce3f3!2m2!1d-68.5293761!2d-31.5426363!1m5!1m1!1s0x96813d8875cc9655:0xced8be91a25ddedf!2m2!1d-68.5266009!2d-31.6903682!1m5!1m1!1s0x9681402690dd76eb:0x4b283f8fe10ce3f3!2m2!1d-68.5293761!2d-31.5426363!3e0?entry=ttu&amp;g_ep=EgoyMDI1MDgxMy4wIKXMDSoASAFQAw%3D%3D</v>
          </cell>
          <cell r="H194">
            <v>39.299999999999997</v>
          </cell>
        </row>
        <row r="195">
          <cell r="D195" t="str">
            <v>0ACTBJFJ500022P</v>
          </cell>
          <cell r="E195" t="str">
            <v>Pocito</v>
          </cell>
          <cell r="F195" t="str">
            <v>https://maps.app.goo.gl/o9K8RLRqcWBiZprR9</v>
          </cell>
          <cell r="G195" t="str">
            <v>https://www.google.com/maps/dir/Catamarca+Sur+664,+San+Juan/Col.+Sec.+Prof.+Froilan+Javier+Ferrero.,+Furque,+J5427+Villa+Aberastain,+San+Juan/Catamarca+Sur+664,+San+Juan/@-31.6022516,-68.6301307,19736m/data=!3m2!1e3!4b1!4m20!4m19!1m5!1m1!1s0x9681402690dd76eb:0x4b283f8fe10ce3f3!2m2!1d-68.5293761!2d-31.5426363!1m5!1m1!1s0x96813e84548ac3bf:0xdf8e5a270bb2098f!2m2!1d-68.58107!2d-31.6594245!1m5!1m1!1s0x9681402690dd76eb:0x4b283f8fe10ce3f3!2m2!1d-68.5293761!2d-31.5426363!3e0?entry=ttu&amp;g_ep=EgoyMDI1MDgxMy4wIKXMDSoASAFQAw%3D%3D</v>
          </cell>
          <cell r="H195">
            <v>38.299999999999997</v>
          </cell>
        </row>
        <row r="196">
          <cell r="D196" t="str">
            <v>0ACTBJFJ400030H</v>
          </cell>
          <cell r="E196" t="str">
            <v>Pocito</v>
          </cell>
          <cell r="F196" t="str">
            <v>https://maps.app.goo.gl/cvTCEnNd7STGJFqH9</v>
          </cell>
          <cell r="G196" t="str">
            <v>https://www.google.com/maps/dir/Catamarca+Sur+664,+San+Juan/Escuela+Espa%C3%B1a,+RP7+217,+Villa+Aberastain,+San+Juan/Catamarca+Sur+664,+San+Juan/@-31.5965292,-68.6205935,19738m/data=!3m2!1e3!4b1!4m20!4m19!1m5!1m1!1s0x9681402690dd76eb:0x4b283f8fe10ce3f3!2m2!1d-68.5293761!2d-31.5426363!1m5!1m1!1s0x96813e65c80cb55b:0xee30e2238856ce66!2m2!1d-68.5627519!2d-31.6491711!1m5!1m1!1s0x9681402690dd76eb:0x4b283f8fe10ce3f3!2m2!1d-68.5293761!2d-31.5426363!3e0?entry=ttu&amp;g_ep=EgoyMDI1MDgxMy4wIKXMDSoASAFQAw%3D%3D</v>
          </cell>
          <cell r="H196">
            <v>32.200000000000003</v>
          </cell>
        </row>
        <row r="197">
          <cell r="D197" t="str">
            <v>0ACTBJFH900034B</v>
          </cell>
          <cell r="E197" t="str">
            <v>Albardón</v>
          </cell>
          <cell r="F197" t="str">
            <v>https://maps.app.goo.gl/qgxfqnz8t1MerKp17</v>
          </cell>
          <cell r="G197" t="str">
            <v>https://www.google.com/maps/dir/Catamarca+Sur+664,+San+Juan/Escuela+Vicente+Lopez+y+Planes,+La+Laja+2523,+J5419+Albard%C3%B3n,+San+Juan/Catamarca+Sur+664,+San+Juan/@-31.4847148,-68.5966544,19761m/data=!3m2!1e3!4b1!4m20!4m19!1m5!1m1!1s0x9681402690dd76eb:0x4b283f8fe10ce3f3!2m2!1d-68.5293761!2d-31.5426363!1m5!1m1!1s0x968168424dbd94a1:0x9d22a4e66bd556ac!2m2!1d-68.4927497!2d-31.4147996!1m5!1m1!1s0x9681402690dd76eb:0x4b283f8fe10ce3f3!2m2!1d-68.5293761!2d-31.5426363!3e0?entry=ttu&amp;g_ep=EgoyMDI1MDgxMy4wIKXMDSoASAFQAw%3D%3D</v>
          </cell>
          <cell r="H197">
            <v>40.4</v>
          </cell>
        </row>
        <row r="198">
          <cell r="D198" t="str">
            <v>0ACTBJFJ500012T</v>
          </cell>
          <cell r="E198" t="str">
            <v>Pocito</v>
          </cell>
          <cell r="F198" t="str">
            <v>https://maps.app.goo.gl/qLqAjAwywsZPhSZN9</v>
          </cell>
          <cell r="G198" t="str">
            <v>https://www.google.com/maps/dir/Catamarca+Sur+664,+San+Juan/Escuela+anexo+Minero+Sanjuanino+educ+para+adultos,+C.+17,+San+Juan/Catamarca+Sur+664,+San+Juan/@-31.6377021,-68.7044749,39458m/data=!3m2!1e3!4b1!4m20!4m19!1m5!1m1!1s0x9681402690dd76eb:0x4b283f8fe10ce3f3!2m2!1d-68.5293761!2d-31.5426363!1m5!1m1!1s0x96813dc282fd20c7:0xdc6f95c7419e9000!2m2!1d-68.5656909!2d-31.7301987!1m5!1m1!1s0x9681402690dd76eb:0x4b283f8fe10ce3f3!2m2!1d-68.5293761!2d-31.5426363!3e0?entry=ttu&amp;g_ep=EgoyMDI1MDgxMy4wIKXMDSoASAFQAw%3D%3D</v>
          </cell>
          <cell r="H198">
            <v>47.7</v>
          </cell>
        </row>
        <row r="199">
          <cell r="D199" t="str">
            <v>0ACTBJFJ90002RR</v>
          </cell>
          <cell r="E199" t="str">
            <v>Pocito</v>
          </cell>
          <cell r="F199" t="str">
            <v>https://maps.app.goo.gl/AM9Ubi8kScL2nPQ77</v>
          </cell>
          <cell r="G199" t="str">
            <v>https://www.google.com/maps/dir/Catamarca+Sur+664,+San+Juan/Escuela+Tierra+del+Fuego,+San+Juan/Catamarca+Sur+664,+San+Juan/@-31.6197952,-68.6397336,19733m/data=!3m2!1e3!4b1!4m20!4m19!1m5!1m1!1s0x9681402690dd76eb:0x4b283f8fe10ce3f3!2m2!1d-68.5293761!2d-31.5426363!1m5!1m1!1s0x96813d83ce085a23:0xc633c4def734f971!2m2!1d-68.6008086!2d-31.6868065!1m5!1m1!1s0x9681402690dd76eb:0x4b283f8fe10ce3f3!2m2!1d-68.5293761!2d-31.5426363!3e0?entry=ttu&amp;g_ep=EgoyMDI1MDgxMy4wIKXMDSoASAFQAw%3D%3D</v>
          </cell>
          <cell r="H199">
            <v>47.8</v>
          </cell>
        </row>
        <row r="200">
          <cell r="D200" t="str">
            <v>0ACTBJFK20007FL</v>
          </cell>
          <cell r="E200" t="str">
            <v>Chimbas</v>
          </cell>
          <cell r="F200" t="str">
            <v>https://maps.app.goo.gl/ASxBwTj68gnZFLfr9</v>
          </cell>
          <cell r="G200" t="str">
            <v>https://www.google.com/maps/dir/Catamarca+Sur+664,+San+Juan/Escuela+Salvador+M.+Del+Carril,+Gral.+Urquiza+Norte+321,+J5400+Chimbas,+San+Juan/@-31.5267113,-68.5544206,4938m/data=!3m2!1e3!4b1!4m14!4m13!1m5!1m1!1s0x9681402690dd76eb:0x4b283f8fe10ce3f3!2m2!1d-68.5293761!2d-31.5426363!1m5!1m1!1s0x968141c3220156bd:0x6ce909e814915e4b!2m2!1d-68.5382697!2d-31.510866!3e0?entry=ttu&amp;g_ep=EgoyMDI1MDYxNy4wIKXMDSoASAFQAw%3D%3D</v>
          </cell>
          <cell r="H200">
            <v>8</v>
          </cell>
        </row>
        <row r="201">
          <cell r="D201" t="str">
            <v>0ACTBJFJ500043W</v>
          </cell>
          <cell r="E201" t="str">
            <v>Chimbas</v>
          </cell>
          <cell r="F201" t="str">
            <v>https://maps.app.goo.gl/Pgt7ejpGknAzQgEP8</v>
          </cell>
          <cell r="G201" t="str">
            <v>https://www.google.com/maps/dir/Catamarca+Sur+664,+San+Juan/Escuela+13+de+junio,+J5413+Chimbas,+San+Juan/Catamarca+Sur+664,+San+Juan/@-31.5167635,-68.5606227,9877m/data=!3m2!1e3!4b1!4m20!4m19!1m5!1m1!1s0x9681402690dd76eb:0x4b283f8fe10ce3f3!2m2!1d-68.5293761!2d-31.5426363!1m5!1m1!1s0x96816931cc1b5c71:0x6929669d96041bea!2m2!1d-68.5203454!2d-31.4802547!1m5!1m1!1s0x9681402690dd76eb:0x4b283f8fe10ce3f3!2m2!1d-68.5293761!2d-31.5426363!3e0?entry=ttu&amp;g_ep=EgoyMDI1MDgxMy4wIKXMDSoASAFQAw%3D%3D</v>
          </cell>
          <cell r="H201">
            <v>21.9</v>
          </cell>
        </row>
        <row r="202">
          <cell r="D202" t="str">
            <v>0ACTBJFJ50004KZ</v>
          </cell>
          <cell r="E202" t="str">
            <v>Chimbas</v>
          </cell>
          <cell r="F202" t="str">
            <v>https://maps.app.goo.gl/QUn7nYrxRew6sNaF6</v>
          </cell>
          <cell r="G202" t="str">
            <v>https://www.google.com/maps/dir/Catamarca+Sur+664,+San+Juan/Escuela+Presidente+Avellaneda,+Gral.+Urquiza+Norte+1653,+J5413+Chimbas,+San+Juan/@-31.5177,-68.5790144,9877m/data=!3m2!1e3!4b1!4m14!4m13!1m5!1m1!1s0x9681402690dd76eb:0x4b283f8fe10ce3f3!2m2!1d-68.5293761!2d-31.5426363!1m5!1m1!1s0x968141f49d48852b:0xba079f69668366ab!2m2!1d-68.5462432!2d-31.4930395!3e0?entry=ttu&amp;g_ep=EgoyMDI1MDYxNy4wIKXMDSoASAFQAw%3D%3D</v>
          </cell>
          <cell r="H202">
            <v>12</v>
          </cell>
        </row>
        <row r="203">
          <cell r="D203" t="str">
            <v>0ACTBJFJ90002MM</v>
          </cell>
          <cell r="E203" t="str">
            <v>Santa Lucia</v>
          </cell>
          <cell r="F203" t="str">
            <v>https://maps.app.goo.gl/nJiXLmC7LKswkoME7</v>
          </cell>
          <cell r="G203" t="str">
            <v>https://www.google.com/maps/dir/Catamarca+Sur+664,+San+Juan/Escuela+Primaria+%22Mariano+Necochea,+Balet,+J5411+Santa+Luc%C3%ADa,+San+Juan/@-31.531864,-68.5330359,4938m/data=!3m2!1e3!4b1!4m14!4m13!1m5!1m1!1s0x9681402690dd76eb:0x4b283f8fe10ce3f3!2m2!1d-68.5293761!2d-31.5426363!1m5!1m1!1s0x96816af5fe607d7f:0xd93faa3a9b4d0b83!2m2!1d-68.495193!2d-31.5220679!3e0?entry=ttu&amp;g_ep=EgoyMDI1MDYxNy4wIKXMDSoASAFQAw%3D%3D</v>
          </cell>
          <cell r="H203">
            <v>12</v>
          </cell>
        </row>
        <row r="204">
          <cell r="D204" t="str">
            <v>0ACTBJFK20003VV</v>
          </cell>
          <cell r="E204" t="str">
            <v>Chimbas</v>
          </cell>
          <cell r="F204" t="str">
            <v>https://maps.app.goo.gl/nprZFyMbZmEg1sAq8</v>
          </cell>
          <cell r="G204" t="str">
            <v>https://www.google.com/maps/dir/Catamarca+Sur+664,+San+Juan/Escuela+Transito+De+Oro,+y,+Pelayes+%26+Oratorio/Catamarca+Sur+664,+San+Juan/@-31.5229478,-68.5430617,9877m/data=!3m2!1e3!4b1!4m20!4m19!1m5!1m1!1s0x9681402690dd76eb:0x4b283f8fe10ce3f3!2m2!1d-68.5293761!2d-31.5426363!1m5!1m1!1s0x96816bcb09391f43:0xcb17dca1cca91c2!2m2!1d-68.4751781!2d-31.4911146!1m5!1m1!1s0x9681402690dd76eb:0x4b283f8fe10ce3f3!2m2!1d-68.5293761!2d-31.5426363!3e0?entry=ttu&amp;g_ep=EgoyMDI1MDgxMy4wIKXMDSoASAFQAw%3D%3D</v>
          </cell>
          <cell r="H204">
            <v>23.4</v>
          </cell>
        </row>
        <row r="205">
          <cell r="D205" t="str">
            <v>0ACTBJFK20002EZ</v>
          </cell>
          <cell r="E205" t="str">
            <v>Rawson</v>
          </cell>
          <cell r="F205" t="str">
            <v>https://maps.app.goo.gl/YDF1AD4SSY6tPvsN6</v>
          </cell>
          <cell r="G205" t="str">
            <v>https://www.google.com/maps/dir/Catamarca+Sur+664,+J5402GSN+San+Juan/Escuela+Agrot%C3%A9cnica+Los+Pioneros,+San+Juan/Catamarca+Sur+664,+San+Juan/@-31.5964713,-68.6014644,19738m/data=!3m2!1e3!4b1!4m20!4m19!1m5!1m1!1s0x9681402690dd76eb:0x4b283f8fe10ce3f3!2m2!1d-68.5293761!2d-31.5426363!1m5!1m1!1s0x968115e0a3b6bd09:0x5c4215b626f08e9c!2m2!1d-68.5012859!2d-31.649134!1m5!1m1!1s0x9681402690dd76eb:0x4b283f8fe10ce3f3!2m2!1d-68.5293761!2d-31.5426363!3e0?entry=ttu&amp;g_ep=EgoyMDI1MDgxMy4wIKXMDSoASAFQAw%3D%3D</v>
          </cell>
          <cell r="H205">
            <v>32.700000000000003</v>
          </cell>
        </row>
        <row r="206">
          <cell r="D206" t="str">
            <v>0ACTBJFH900019D</v>
          </cell>
          <cell r="E206" t="str">
            <v>Rawson</v>
          </cell>
          <cell r="F206" t="str">
            <v>https://maps.app.goo.gl/VEPxV6ahfWSuehyz8</v>
          </cell>
          <cell r="G206" t="str">
            <v>https://www.google.com/maps/dir/Catamarca+Sur+664,+San+Juan/Escuela+Fray+Luis+Beltr%C3%A1n,+J5425+Rawson,+San+Juan/@-31.5588717,-68.5423193,4936m/data=!3m2!1e3!4b1!4m14!4m13!1m5!1m1!1s0x9681402690dd76eb:0x4b283f8fe10ce3f3!2m2!1d-68.5293761!2d-31.5426363!1m5!1m1!1s0x968115646ab3813f:0x24f027ea0070663c!2m2!1d-68.5186859!2d-31.5766274!3e0?entry=ttu&amp;g_ep=EgoyMDI1MDYxNy4wIKXMDSoASAFQAw%3D%3D</v>
          </cell>
          <cell r="H206">
            <v>10</v>
          </cell>
        </row>
        <row r="207">
          <cell r="D207" t="str">
            <v>0ACTBJFJ50000NF</v>
          </cell>
          <cell r="E207" t="str">
            <v>Rawson</v>
          </cell>
          <cell r="F207" t="str">
            <v>https://maps.app.goo.gl/VEPxV6ahfWSuehyz8</v>
          </cell>
          <cell r="G207" t="str">
            <v>https://www.google.com/maps/dir/Catamarca+Sur+664,+San+Juan/Escuela+Fray+Luis+Beltr%C3%A1n,+J5425+Rawson,+San+Juan/@-31.5588717,-68.5423193,4936m/data=!3m2!1e3!4b1!4m14!4m13!1m5!1m1!1s0x9681402690dd76eb:0x4b283f8fe10ce3f3!2m2!1d-68.5293761!2d-31.5426363!1m5!1m1!1s0x968115646ab3813f:0x24f027ea0070663c!2m2!1d-68.5186859!2d-31.5766274!3e0?entry=ttu&amp;g_ep=EgoyMDI1MDYxNy4wIKXMDSoASAFQAw%3D%3D</v>
          </cell>
          <cell r="H207">
            <v>10</v>
          </cell>
        </row>
        <row r="208">
          <cell r="D208" t="str">
            <v>0ACTBJFJ500034X</v>
          </cell>
          <cell r="E208" t="str">
            <v>Angaco</v>
          </cell>
          <cell r="F208" t="str">
            <v>https://maps.app.goo.gl/WcyiiKTQrrhK8buF7</v>
          </cell>
          <cell r="G208" t="str">
            <v>https://www.google.com/maps/place/Escuela+Juan+Jos%C3%A9+Paso/@-31.4808292,-68.5417827,19762m/data=!3m1!1e3!4m30!1m23!4m22!1m6!1m2!1s0x968140269756b7e1:0x3c38eb6d66eb45d!2sCatamarca+Sur,+J5402+San+Juan!2m2!1d-68.5295918!2d-31.5427459!1m6!1m2!1s0x96816fab63b3304b:0x45a508cc0ab86fef!2sEscuela+Juan+Jos%C3%A9+Paso,+21+de+Febrero,+San+Juan!2m2!1d-68.3830063!2d-31.407251!1m6!1m2!1s0x9681402690dd76eb:0x4b283f8fe10ce3f3!2sCatamarca+Sur+664,+San+Juan!2m2!1d-68.5293761!2d-31.5426363!3e0!3m5!1s0x96816fab63b3304b:0x45a508cc0ab86fef!8m2!3d-31.407251!4d-68.3830063!16s%2Fg%2F11fnxw6n4c?entry=ttu&amp;g_ep=EgoyMDI1MDgxMy4wIKXMDSoASAFQAw%3D%3D</v>
          </cell>
          <cell r="H208">
            <v>63.1</v>
          </cell>
        </row>
        <row r="209">
          <cell r="D209" t="str">
            <v>0ACTBJFK20000BR</v>
          </cell>
          <cell r="E209" t="str">
            <v>Rawson</v>
          </cell>
          <cell r="F209" t="str">
            <v>https://maps.app.goo.gl/Z3BkrETNggt1syzp7</v>
          </cell>
          <cell r="G209" t="str">
            <v>https://www.google.com/maps/dir/Catamarca+Sur+664,+San+Juan/Escuela+Ejercito+De+Los+Andes+Y+Escuela+Fray+Luis+Beltr%C3%A1n,+J5425,+San+Juan/Catamarca+Sur+664,+San+Juan/@-31.5624809,-68.5594158,9872m/data=!3m2!1e3!4b1!4m20!4m19!1m5!1m1!1s0x9681402690dd76eb:0x4b283f8fe10ce3f3!2m2!1d-68.5293761!2d-31.5426363!1m5!1m1!1s0x968115414a2cd53b:0x75eeff634af3ebe2!2m2!1d-68.5054276!2d-31.5837876!1m5!1m1!1s0x9681402690dd76eb:0x4b283f8fe10ce3f3!2m2!1d-68.5293761!2d-31.5426363!3e0?entry=ttu&amp;g_ep=EgoyMDI1MDgxMy4wIKXMDSoASAFQAw%3D%3D</v>
          </cell>
          <cell r="H209">
            <v>12.5</v>
          </cell>
        </row>
        <row r="210">
          <cell r="D210" t="str">
            <v>0ACTBJFK400001D</v>
          </cell>
          <cell r="E210" t="str">
            <v>Rawson</v>
          </cell>
          <cell r="F210" t="str">
            <v>https://maps.app.goo.gl/MpNMjv3jkxshzawV8</v>
          </cell>
          <cell r="G210" t="str">
            <v>https://www.google.com/maps/dir/Catamarca+Sur+664,+San+Juan/Escuela+Secundaria+Dr.+Nicanor+Larrain,+Maip%C3%BA+Oeste+100+oeste,+J5425+Rawson,+San+Juan/@-31.5548419,-68.559363,4937m/data=!3m2!1e3!4b1!4m14!4m13!1m5!1m1!1s0x9681402690dd76eb:0x4b283f8fe10ce3f3!2m2!1d-68.5293761!2d-31.5426363!1m5!1m1!1s0x968141fe1a807739:0x5762994318084fdf!2m2!1d-68.5509609!2d-31.5648501!3e0?entry=ttu&amp;g_ep=EgoyMDI1MDYxNy4wIKXMDSoASAFQAw%3D%3D</v>
          </cell>
          <cell r="H210">
            <v>10</v>
          </cell>
        </row>
        <row r="211">
          <cell r="D211" t="str">
            <v>0ACTBJFH90002LB</v>
          </cell>
          <cell r="E211" t="str">
            <v>Rawson</v>
          </cell>
          <cell r="F211" t="str">
            <v>https://maps.app.goo.gl/MpNMjv3jkxshzawV8</v>
          </cell>
          <cell r="G211" t="str">
            <v>https://www.google.com/maps/dir/Catamarca+Sur+664,+San+Juan/Escuela+Secundaria+Dr.+Nicanor+Larrain,+Maip%C3%BA+Oeste+100+oeste,+J5425+Rawson,+San+Juan/@-31.5548419,-68.559363,4937m/data=!3m2!1e3!4b1!4m14!4m13!1m5!1m1!1s0x9681402690dd76eb:0x4b283f8fe10ce3f3!2m2!1d-68.5293761!2d-31.5426363!1m5!1m1!1s0x968141fe1a807739:0x5762994318084fdf!2m2!1d-68.5509609!2d-31.5648501!3e0?entry=ttu&amp;g_ep=EgoyMDI1MDYxNy4wIKXMDSoASAFQAw%3D%3D</v>
          </cell>
          <cell r="H211">
            <v>10</v>
          </cell>
        </row>
        <row r="212">
          <cell r="D212" t="str">
            <v>0ACTBJFH90001DY</v>
          </cell>
          <cell r="E212" t="str">
            <v>Rawson</v>
          </cell>
          <cell r="F212" t="str">
            <v>https://maps.app.goo.gl/xw7sV9CyhxL7ruhq6</v>
          </cell>
          <cell r="G212" t="str">
            <v>https://www.google.com/maps/dir/Catamarca+Sur+664,+San+Juan/Escuela+Provincia+De+Misiones,+San+Juan/Catamarca+Sur+664,+San+Juan/@-31.6236399,-68.5944071,19732m/data=!3m2!1e3!4b1!4m20!4m19!1m5!1m1!1s0x9681402690dd76eb:0x4b283f8fe10ce3f3!2m2!1d-68.5293761!2d-31.5426363!1m5!1m1!1s0x968117a5a28082ad:0x6da10e565f11ced4!2m2!1d-68.4854023!2d-31.7063005!1m5!1m1!1s0x9681402690dd76eb:0x4b283f8fe10ce3f3!2m2!1d-68.5293761!2d-31.5426363!3e0?entry=ttu&amp;g_ep=EgoyMDI1MDgxMy4wIKXMDSoASAFQAw%3D%3D</v>
          </cell>
          <cell r="H212">
            <v>47.5</v>
          </cell>
        </row>
        <row r="213">
          <cell r="D213" t="str">
            <v>0ACTBJFJ50001NV</v>
          </cell>
          <cell r="E213" t="str">
            <v>Pocito</v>
          </cell>
          <cell r="F213" t="str">
            <v>https://maps.app.goo.gl/NWn7rZDrWsZt2sxb7</v>
          </cell>
          <cell r="G213" t="str">
            <v>https://www.google.com/maps/dir/Catamarca+Sur+664,+San+Juan/Esc.+San+Jos%C3%A9+De+Calasanz,+San+Juan/Catamarca+Sur+664,+San+Juan/@-31.5860157,-68.6512612,19740m/data=!3m2!1e3!4b1!4m20!4m19!1m5!1m1!1s0x9681402690dd76eb:0x4b283f8fe10ce3f3!2m2!1d-68.5293761!2d-31.5426363!1m5!1m1!1s0x96813f7bab313839:0x5fc5eb92d82a6b73!2m2!1d-68.6094186!2d-31.6264577!1m5!1m1!1s0x9681402690dd76eb:0x4b283f8fe10ce3f3!2m2!1d-68.5293761!2d-31.5426363!3e0?entry=ttu&amp;g_ep=EgoyMDI1MDgxMy4wIKXMDSoASAFQAw%3D%3D</v>
          </cell>
          <cell r="H213">
            <v>31.7</v>
          </cell>
        </row>
        <row r="214">
          <cell r="D214" t="str">
            <v>0ACTBJFH90000ZW</v>
          </cell>
          <cell r="E214" t="str">
            <v>Pocito</v>
          </cell>
          <cell r="F214" t="str">
            <v>https://maps.app.goo.gl/4EgChcPmu6cSiNhD7</v>
          </cell>
          <cell r="G214" t="str">
            <v>https://www.google.com/maps/dir/Catamarca+Sur+664,+San+Juan/Escuela+General+Mariano+Acha,+Unnamed+Road,+San+Juan/Catamarca+Sur+664,+San+Juan/@-31.5761201,-68.5937682,9871m/data=!3m2!1e3!4b1!4m20!4m19!1m5!1m1!1s0x9681402690dd76eb:0x4b283f8fe10ce3f3!2m2!1d-68.5293761!2d-31.5426363!1m5!1m1!1s0x96813fdd832f6bfb:0xe3d9e23680d0052f!2m2!1d-68.5771836!2d-31.6104171!1m5!1m1!1s0x9681402690dd76eb:0x4b283f8fe10ce3f3!2m2!1d-68.5293761!2d-31.5426363!3e0?entry=ttu&amp;g_ep=EgoyMDI1MDgxMy4wIKXMDSoASAFQAw%3D%3D</v>
          </cell>
          <cell r="H214">
            <v>21</v>
          </cell>
        </row>
        <row r="215">
          <cell r="D215" t="str">
            <v>076UBJFH600014E</v>
          </cell>
          <cell r="E215" t="str">
            <v>Pocito</v>
          </cell>
          <cell r="F215" t="str">
            <v>https://maps.app.goo.gl/bQoPMFAt8hHpgMGg9</v>
          </cell>
          <cell r="G215" t="str">
            <v>https://www.google.com/maps/dir/Catamarca+Sur+664,+San+Juan/Escuela+DRA.+FRANCISCA+DE+PAEZ,+Pocito,+San+Juan/Catamarca+Sur+664,+San+Juan/@-31.6997918,-68.7020631,39431m/data=!3m2!1e3!4b1!4m20!4m19!1m5!1m1!1s0x9681402690dd76eb:0x4b283f8fe10ce3f3!2m2!1d-68.5293761!2d-31.5426363!1m5!1m1!1s0x968121dcf3a77b1f:0x201b11da3a02276a!2m2!1d-68.5341784!2d-31.858688!1m5!1m1!1s0x9681402690dd76eb:0x4b283f8fe10ce3f3!2m2!1d-68.5293761!2d-31.5426363!3e0?entry=ttu&amp;g_ep=EgoyMDI1MDgxMy4wIKXMDSoASAFQAw%3D%3D</v>
          </cell>
          <cell r="H215">
            <v>75.400000000000006</v>
          </cell>
        </row>
        <row r="216">
          <cell r="D216" t="str">
            <v>076UBJFGC00011B</v>
          </cell>
          <cell r="E216" t="str">
            <v>Pocito</v>
          </cell>
          <cell r="F216" t="str">
            <v>https://maps.app.goo.gl/Sbty2RbNLcwexRSu5</v>
          </cell>
          <cell r="G216" t="str">
            <v>https://www.google.com/maps/dir/Catamarca+Sur+664,+San+Juan/Escuela+M.+M.+de+G%C3%BCemes,+Pocito,+San+Juan/Catamarca+Sur+664,+San+Juan/@-31.5769334,-68.6061037,9871m/data=!3m2!1e3!4b1!4m20!4m19!1m5!1m1!1s0x9681402690dd76eb:0x4b283f8fe10ce3f3!2m2!1d-68.5293761!2d-31.5426363!1m5!1m1!1s0x96813f3ed1486ae5:0x931938a33ffd4c63!2m2!1d-68.6016589!2d-31.6088727!1m5!1m1!1s0x9681402690dd76eb:0x4b283f8fe10ce3f3!2m2!1d-68.5293761!2d-31.5426363!3e0?entry=ttu&amp;g_ep=EgoyMDI1MDgxMy4wIKXMDSoASAFQAw%3D%3D</v>
          </cell>
          <cell r="H216">
            <v>26.8</v>
          </cell>
        </row>
        <row r="217">
          <cell r="D217" t="str">
            <v>076UBJFH10003LY</v>
          </cell>
          <cell r="E217" t="str">
            <v>Rawson</v>
          </cell>
          <cell r="F217" t="str">
            <v>https://maps.app.goo.gl/wEyMTdkQEGB7Pq1d9</v>
          </cell>
          <cell r="G217" t="str">
            <v>https://www.google.com/maps/dir/Catamarca+Sur+664,+San+Juan/Escuela+Ejercito+De+Los+Andes+Y+Escuela+Fray+Luis+Beltr%C3%A1n,+J5425,+San+Juan/@-31.562415,-68.5586856,9872m/data=!3m2!1e3!4b1!4m14!4m13!1m5!1m1!1s0x9681402690dd76eb:0x4b283f8fe10ce3f3!2m2!1d-68.5293761!2d-31.5426363!1m5!1m1!1s0x968115414a2cd53b:0x75eeff634af3ebe2!2m2!1d-68.5054276!2d-31.5837876!3e0?entry=ttu&amp;g_ep=EgoyMDI1MDYxNy4wIKXMDSoASAFQAw%3D%3D</v>
          </cell>
          <cell r="H217">
            <v>12</v>
          </cell>
        </row>
        <row r="218">
          <cell r="D218" t="str">
            <v>0ACTBJFHB0001YL</v>
          </cell>
          <cell r="E218" t="str">
            <v>Chimbas</v>
          </cell>
          <cell r="F218" t="str">
            <v>https://maps.app.goo.gl/bWc5wVeFYnx356N59</v>
          </cell>
          <cell r="G218" t="str">
            <v>https://www.google.com/maps/dir/Catamarca+Sur+664,+San+Juan/25+de+Mayo+Oeste+%26+C.+La+Isla+N,+J5413+Chimbas,+San+Juan/Catamarca+Sur+664,+San+Juan/@-31.5267111,-68.5895993,9876m/data=!3m2!1e3!4b1!4m20!4m19!1m5!1m1!1s0x9681402690dd76eb:0x4b283f8fe10ce3f3!2m2!1d-68.5293761!2d-31.5426363!1m5!1m1!1s0x9681418465fc54fd:0xd6a1c8bce0558f8d!2m2!1d-68.5653436!2d-31.4981295!1m5!1m1!1s0x9681402690dd76eb:0x4b283f8fe10ce3f3!2m2!1d-68.5293761!2d-31.5426363!3e0?entry=ttu&amp;g_ep=EgoyMDI1MDgxMy4wIKXMDSoASAFQAw%3D%3D</v>
          </cell>
          <cell r="H218">
            <v>18.7</v>
          </cell>
        </row>
        <row r="219">
          <cell r="D219" t="str">
            <v>076UBJFH20000JN</v>
          </cell>
          <cell r="E219" t="str">
            <v>Jáchal</v>
          </cell>
          <cell r="F219" t="str">
            <v>https://maps.app.goo.gl/4FKZR71sti3ZSJ8h6</v>
          </cell>
          <cell r="G219" t="str">
            <v>https://www.google.com/maps/dir/Catamarca+Sur+664,+San+Juan/ESCUELA+24+DE+SEPTIEMBRE+-+Villa+Mercedes,+Villa+Mercedes,+San+Juan/Catamarca+Sur+664,+San+Juan/@-30.8212836,-69.9413961,318400m/data=!3m2!1e3!4b1!4m20!4m19!1m5!1m1!1s0x9681402690dd76eb:0x4b283f8fe10ce3f3!2m2!1d-68.5293761!2d-31.5426363!1m5!1m1!1s0x968344a5cb1dee57:0x32762593e2c7ec66!2m2!1d-68.7009297!2d-30.1056932!1m5!1m1!1s0x9681402690dd76eb:0x4b283f8fe10ce3f3!2m2!1d-68.5293761!2d-31.5426363!3e0?entry=ttu&amp;g_ep=EgoyMDI1MDgxMy4wIKXMDSoASAFQAw%3D%3D</v>
          </cell>
          <cell r="H219">
            <v>350</v>
          </cell>
        </row>
        <row r="220">
          <cell r="D220" t="str">
            <v>0ACTBJFJ400036F</v>
          </cell>
          <cell r="E220" t="str">
            <v>Chimbas</v>
          </cell>
          <cell r="F220" t="str">
            <v>https://maps.google.com/maps?q=-31.5087146%2C-68.5946447&amp;z=17&amp;hl=es</v>
          </cell>
          <cell r="G220" t="str">
            <v>https://www.google.com/maps/dir/Catamarca+Sur+664,+San+Juan/Colegio+Provincial+Chimbas+N1,+J5413+Chimbas,+San+Juan/Catamarca+Sur+664,+San+Juan/@-31.532082,-68.6030134,9876m/data=!3m2!1e3!4b1!4m20!4m19!1m5!1m1!1s0x9681402690dd76eb:0x4b283f8fe10ce3f3!2m2!1d-68.5293761!2d-31.5426363!1m5!1m1!1s0x968141041f254fbd:0xb2d63d25c81f28d9!2m2!1d-68.5942404!2d-31.5089226!1m5!1m1!1s0x9681402690dd76eb:0x4b283f8fe10ce3f3!2m2!1d-68.5293761!2d-31.5426363!3e0?hl=es&amp;entry=ttu&amp;g_ep=EgoyMDI1MDgxMy4wIKXMDSoASAFQAw%3D%3D</v>
          </cell>
          <cell r="H220">
            <v>21.1</v>
          </cell>
        </row>
        <row r="221">
          <cell r="D221" t="str">
            <v>076UBJFH10004AH</v>
          </cell>
          <cell r="E221" t="str">
            <v>Jachal</v>
          </cell>
          <cell r="F221" t="str">
            <v>https://maps.app.goo.gl/nyGX8Hr8H3qfV3ky5</v>
          </cell>
          <cell r="G221" t="str">
            <v>https://www.google.com/maps/dir/Catamarca+Sur+664,+San+Juan/Escuela+Pedro+Bonifacio+Palacios,+RP456,+Tamber%C3%ADas,+San+Juan/Catamarca+Sur+664,+San+Juan/@-30.8580224,-69.9461396,318279m/data=!3m1!1e3!4m20!4m19!1m5!1m1!1s0x9681402690dd76eb:0x4b283f8fe10ce3f3!2m2!1d-68.5293761!2d-31.5426363!1m5!1m1!1s0x96835debdd40f1c9:0x5d4608612b127702!2m2!1d-68.7256993!2d-30.1886655!1m5!1m1!1s0x9681402690dd76eb:0x4b283f8fe10ce3f3!2m2!1d-68.5293761!2d-31.5426363!3e0?entry=ttu&amp;g_ep=EgoyMDI1MDgxMy4wIKXMDSoASAFQAw%3D%3D</v>
          </cell>
          <cell r="H221">
            <v>331</v>
          </cell>
        </row>
        <row r="222">
          <cell r="D222" t="str">
            <v>076UBJFH10003HN</v>
          </cell>
          <cell r="E222" t="str">
            <v>Jachal</v>
          </cell>
          <cell r="F222" t="str">
            <v>https://maps.app.goo.gl/RJvDHSgYyJQh8WAUA</v>
          </cell>
          <cell r="G222" t="str">
            <v>https://www.google.com/maps/dir/Catamarca+Sur+664,+San+Juan/Escuela+Gabriel+Albarracin+Emer,+Calle+Nueva+S%2FN+La+Represa,+J5460,+San+Juan/Catamarca+Sur+664,+San+Juan/@-30.8063217,-69.9458598,318450m/data=!3m1!1e3!4m20!4m19!1m5!1m1!1s0x9681402690dd76eb:0x4b283f8fe10ce3f3!2m2!1d-68.5293761!2d-31.5426363!1m5!1m1!1s0x968345dc19470b33:0x9385d61720cfda0c!2m2!1d-68.6905477!2d-30.0861659!1m5!1m1!1s0x9681402690dd76eb:0x4b283f8fe10ce3f3!2m2!1d-68.5293761!2d-31.5426363!3e0?entry=ttu&amp;g_ep=EgoyMDI1MDgxMy4wIKXMDSoASAFQAw%3D%3D</v>
          </cell>
          <cell r="H222">
            <v>356</v>
          </cell>
        </row>
        <row r="223">
          <cell r="D223" t="str">
            <v>0ACTBJFH90004RW</v>
          </cell>
          <cell r="E223" t="str">
            <v>Angaco</v>
          </cell>
          <cell r="F223" t="str">
            <v>https://maps.app.goo.gl/WcyiiKTQrrhK8buF7</v>
          </cell>
          <cell r="G223" t="str">
            <v>https://www.google.com/maps/place/Escuela+Juan+Jos%C3%A9+Paso/@-31.4808292,-68.5417827,19762m/data=!3m1!1e3!4m30!1m23!4m22!1m6!1m2!1s0x968140269756b7e1:0x3c38eb6d66eb45d!2sCatamarca+Sur,+J5402+San+Juan!2m2!1d-68.5295918!2d-31.5427459!1m6!1m2!1s0x96816fab63b3304b:0x45a508cc0ab86fef!2sEscuela+Juan+Jos%C3%A9+Paso,+21+de+Febrero,+San+Juan!2m2!1d-68.3830063!2d-31.407251!1m6!1m2!1s0x9681402690dd76eb:0x4b283f8fe10ce3f3!2sCatamarca+Sur+664,+San+Juan!2m2!1d-68.5293761!2d-31.5426363!3e0!3m5!1s0x96816fab63b3304b:0x45a508cc0ab86fef!8m2!3d-31.407251!4d-68.3830063!16s%2Fg%2F11fnxw6n4c?entry=ttu&amp;g_ep=EgoyMDI1MDgxMy4wIKXMDSoASAFQAw%3D%3D</v>
          </cell>
          <cell r="H223">
            <v>63.1</v>
          </cell>
        </row>
        <row r="224">
          <cell r="D224" t="str">
            <v>0ACTBJFJ50004AK</v>
          </cell>
          <cell r="E224" t="str">
            <v>Angaco</v>
          </cell>
          <cell r="F224" t="str">
            <v>https://maps.app.goo.gl/pbXwbgU2XPhdrYzW6</v>
          </cell>
          <cell r="G224" t="str">
            <v>https://www.google.com/maps/dir/Catamarca+Sur+664,+San+Juan/Escuela+Capit%C3%A1n+Juan+Eugenio+de+Mallea+-+E.M.E.R.,+Calle+1+9,+San+Juan/Catamarca+Sur+664,+San+Juan/@-31.4890747,-68.5403267,19760m/data=!3m2!1e3!4b1!4m20!4m19!1m5!1m1!1s0x9681402690dd76eb:0x4b283f8fe10ce3f3!2m2!1d-68.5293761!2d-31.5426363!1m5!1m1!1s0x96816e5fee3476cf:0x6efc977c7bbffdd!2m2!1d-68.3813078!2d-31.4355676!1m5!1m1!1s0x9681402690dd76eb:0x4b283f8fe10ce3f3!2m2!1d-68.5293761!2d-31.5426363!3e0?entry=ttu&amp;g_ep=EgoyMDI1MDgxMy4wIKXMDSoASAFQAw%3D%3D</v>
          </cell>
          <cell r="H224">
            <v>55.4</v>
          </cell>
        </row>
        <row r="225">
          <cell r="D225" t="str">
            <v>0ACTBJFK80000ML</v>
          </cell>
          <cell r="E225" t="str">
            <v>Chimbas</v>
          </cell>
          <cell r="F225" t="str">
            <v>https://maps.app.goo.gl/WkTZsgdGH37wRHrP6</v>
          </cell>
          <cell r="G225" t="str">
            <v>https://www.google.com/maps/dir/Catamarca+Sur+664,+San+Juan/Escuela+Nro+6+Provincia+De+La+Rioja,+J5413+Chimbas,+San+Juan/@-31.5105894,-68.5669298,9878m/data=!3m2!1e3!4b1!4m14!4m13!1m5!1m1!1s0x9681402690dd76eb:0x4b283f8fe10ce3f3!2m2!1d-68.5293761!2d-31.5426363!1m5!1m1!1s0x968142020edc4243:0x44a53dff8cd7074!2m2!1d-68.5316396!2d-31.4843064!3e0?entry=ttu&amp;g_ep=EgoyMDI1MDYxNy4wIKXMDSoASAFQAw%3D%3D</v>
          </cell>
          <cell r="H225">
            <v>14</v>
          </cell>
        </row>
        <row r="226">
          <cell r="D226" t="str">
            <v>0ACTBJFJ50001YL</v>
          </cell>
          <cell r="E226" t="str">
            <v>Chimbas</v>
          </cell>
          <cell r="F226" t="str">
            <v>https://maps.app.goo.gl/dXXZozxVDA7kTYBs5</v>
          </cell>
          <cell r="G226" t="str">
            <v>https://www.google.com/maps/dir/Catamarca+Sur+664,+San+Juan/Escuela+Blas+Parera,+C.+Malvinas,+J5413+Chimbas,+San+Juan/Catamarca+Sur+664,+San+Juan/@-31.5323663,-68.6149965,9876m/data=!3m2!1e3!4b1!4m20!4m19!1m5!1m1!1s0x9681402690dd76eb:0x4b283f8fe10ce3f3!2m2!1d-68.5293761!2d-31.5426363!1m5!1m1!1s0x968141e75e3ce4bf:0xba0300c0cfe5ebcb!2m2!1d-68.6182172!2d-31.5096383!1m5!1m1!1s0x9681402690dd76eb:0x4b283f8fe10ce3f3!2m2!1d-68.5293761!2d-31.5426363!3e0?entry=ttu&amp;g_ep=EgoyMDI1MDgxMy4wIKXMDSoASAFQAw%3D%3D</v>
          </cell>
          <cell r="H226">
            <v>24.7</v>
          </cell>
        </row>
        <row r="227">
          <cell r="D227" t="str">
            <v>0ACTBJFJ50004FF</v>
          </cell>
          <cell r="E227" t="str">
            <v>Jachal</v>
          </cell>
          <cell r="F227" t="str">
            <v>https://maps.app.goo.gl/ckJwPUp534mU3UEu8</v>
          </cell>
          <cell r="G227" t="str">
            <v>https://www.google.com/maps/dir/Catamarca+Sur+664,+San+Juan/Escuela+General+San+Mart%C3%ADn,+Aberastain+536,+J5460+San+Jose+de+Jachal,+San+Juan/Catamarca+Sur+664,+San+Juan/@-30.890974,-69.2860692,159085m/data=!3m2!1e3!4b1!4m20!4m19!1m5!1m1!1s0x9681402690dd76eb:0x4b283f8fe10ce3f3!2m2!1d-68.5293761!2d-31.5426363!1m5!1m1!1s0x96836746fc34727b:0xc93020acbc90fc99!2m2!1d-68.749902!2d-30.2404174!1m5!1m1!1s0x9681402690dd76eb:0x4b283f8fe10ce3f3!2m2!1d-68.5293761!2d-31.5426363!3e0?entry=ttu&amp;g_ep=EgoyMDI1MDgxMy4wIKXMDSoASAFQAw%3D%3D</v>
          </cell>
          <cell r="H227">
            <v>323</v>
          </cell>
        </row>
        <row r="228">
          <cell r="D228" t="str">
            <v>076UBJFH100021L</v>
          </cell>
          <cell r="E228" t="str">
            <v>Jachal</v>
          </cell>
          <cell r="F228" t="str">
            <v>https://maps.app.goo.gl/jzGtkMpQWQzqeQcW9</v>
          </cell>
          <cell r="G228" t="str">
            <v>https://www.google.com/maps/dir/Catamarca+Sur+664,+San+Juan/Escuela+Juan+de+Echegaray,+Ex+Ruta+Provincial+472+y+Progreso,+San+Juan/Catamarca+Sur+664,+San+Juan/@-30.9091877,-69.2722973,159054m/data=!3m1!1e3!4m20!4m19!1m5!1m1!1s0x9681402690dd76eb:0x4b283f8fe10ce3f3!2m2!1d-68.5293761!2d-31.5426363!1m5!1m1!1s0x9683697bbddbac51:0xb4ad145475a1ba2!2m2!1d-68.7035918!2d-30.2785919!1m5!1m1!1s0x9681402690dd76eb:0x4b283f8fe10ce3f3!2m2!1d-68.5293761!2d-31.5426363!3e0?entry=ttu&amp;g_ep=EgoyMDI1MDgxMy4wIKXMDSoASAFQAw%3D%3D</v>
          </cell>
          <cell r="H228">
            <v>306</v>
          </cell>
        </row>
        <row r="229">
          <cell r="D229" t="str">
            <v>076UBJFJA0004BR</v>
          </cell>
          <cell r="E229" t="str">
            <v>Jáchal</v>
          </cell>
          <cell r="F229" t="str">
            <v>https://maps.app.goo.gl/crnVJJy5q1mHdbLr5</v>
          </cell>
          <cell r="G229" t="str">
            <v>https://www.google.com/maps/dir/Catamarca+Sur+664,+San+Juan/Escuela+795+Esc.+Doctor+Alfredo+Calcagno,+RN40,+Huaco,+San+Juan/Catamarca+Sur+664,+San+Juan/@-30.8323732,-69.9246187,318364m/data=!3m1!1e3!4m20!4m19!1m5!1m1!1s0x9681402690dd76eb:0x4b283f8fe10ce3f3!2m2!1d-68.5293761!2d-31.5426363!1m5!1m1!1s0x96833fde2a55620f:0xbd66e3b2d8bc1609!2m2!1d-68.5109671!2d-30.1380132!1m5!1m1!1s0x9681402690dd76eb:0x4b283f8fe10ce3f3!2m2!1d-68.5293761!2d-31.5426363!3e0?entry=ttu&amp;g_ep=EgoyMDI1MDgxMy4wIKXMDSoASAFQAw%3D%3D</v>
          </cell>
          <cell r="H229">
            <v>382</v>
          </cell>
        </row>
        <row r="230">
          <cell r="D230" t="str">
            <v>0ACTBJFH70000HF</v>
          </cell>
          <cell r="E230" t="str">
            <v>JACHAL</v>
          </cell>
          <cell r="F230" t="str">
            <v>https://maps.app.goo.gl/RJvDHSgYyJQh8WAUA</v>
          </cell>
          <cell r="G230" t="str">
            <v>https://www.google.com/maps/dir/Catamarca+Sur+664,+San+Juan/Escuela+Gabriel+Albarracin+Emer,+Calle+Nueva+S%2FN+La+Represa,+J5460,+San+Juan/Catamarca+Sur+664,+San+Juan/@-30.8107994,-69.9413963,318435m/data=!3m2!1e3!4b1!4m20!4m19!1m5!1m1!1s0x9681402690dd76eb:0x4b283f8fe10ce3f3!2m2!1d-68.5293761!2d-31.5426363!1m5!1m1!1s0x968345dc19470b33:0x9385d61720cfda0c!2m2!1d-68.6905477!2d-30.0861659!1m5!1m1!1s0x9681402690dd76eb:0x4b283f8fe10ce3f3!2m2!1d-68.5293761!2d-31.5426363!3e0?entry=ttu&amp;g_ep=EgoyMDI1MDgxMy4wIKXMDSoASAFQAw%3D%3D</v>
          </cell>
          <cell r="H230">
            <v>356</v>
          </cell>
        </row>
        <row r="231">
          <cell r="D231" t="str">
            <v>076UBJFG80004GX</v>
          </cell>
          <cell r="E231" t="str">
            <v>Rivadavia</v>
          </cell>
          <cell r="F231" t="str">
            <v>https://maps.google.com/maps?q=-31.5380554%2C-68.5685085&amp;z=17&amp;hl=es</v>
          </cell>
          <cell r="G231" t="str">
            <v>https://www.google.com/maps/dir/Catamarca+Sur+664,+San+Juan/-31.5380554,-68.5685085/@-31.5407282,-68.568878,4937m/data=!3m2!1e3!4b1!4m9!4m8!1m5!1m1!1s0x9681402690dd76eb:0x4b283f8fe10ce3f3!2m2!1d-68.5293761!2d-31.5426363!1m0!3e0?hl=es&amp;entry=ttu&amp;g_ep=EgoyMDI1MDYxNy4wIKXMDSoASAFQAw%3D%3D</v>
          </cell>
          <cell r="H231">
            <v>8</v>
          </cell>
        </row>
        <row r="232">
          <cell r="D232" t="str">
            <v>0ACTBJFJ40003WW</v>
          </cell>
          <cell r="E232" t="str">
            <v>Caucete</v>
          </cell>
          <cell r="F232" t="str">
            <v>https://maps.app.goo.gl/xa6TXoQFnHd13Sgr7</v>
          </cell>
          <cell r="G232" t="str">
            <v>https://www.google.com/maps/dir/Catamarca+Sur+664,+San+Juan/Escuela+Leonor+S%C3%A1nchez+de+Arancibia,+J5442+Caucete,+San+Juan/Catamarca+Sur+664,+San+Juan/@-31.5968129,-68.4912887,19738m/data=!3m2!1e3!4b1!4m20!4m19!1m5!1m1!1s0x9681402690dd76eb:0x4b283f8fe10ce3f3!2m2!1d-68.5293761!2d-31.5426363!1m5!1m1!1s0x96810e5642ec52c9:0xf11e42f184869c0e!2m2!1d-68.2880184!2d-31.6523474!1m5!1m1!1s0x9681402690dd76eb:0x4b283f8fe10ce3f3!2m2!1d-68.5293761!2d-31.5426363!3e0?entry=ttu&amp;g_ep=EgoyMDI1MDgxMy4wIKXMDSoASAFQAw%3D%3D</v>
          </cell>
          <cell r="H232">
            <v>59.1</v>
          </cell>
        </row>
        <row r="233">
          <cell r="D233" t="str">
            <v>0ACTBJFH90000RD</v>
          </cell>
          <cell r="E233" t="str">
            <v>Rawson</v>
          </cell>
          <cell r="F233" t="str">
            <v>https://maps.app.goo.gl/2kwADBcRWqQJTzkS6</v>
          </cell>
          <cell r="G233" t="str">
            <v>https://www.google.com/maps/dir/Catamarca+Sur+664,+San+Juan/Escuela+Cecilio+%C3%81vila,+RP5+1811,+J5425+San+Juan/@-31.5515182,-68.529864,2468m/data=!3m2!1e3!4b1!4m14!4m13!1m5!1m1!1s0x9681402690dd76eb:0x4b283f8fe10ce3f3!2m2!1d-68.5293761!2d-31.5426363!1m5!1m1!1s0x96816ab17ee1e9cf:0xdf9e32f2bb65c1da!2m2!1d-68.5094279!2d-31.5616327!3e0?entry=ttu&amp;g_ep=EgoyMDI1MDYxNy4wIKXMDSoASAFQAw%3D%3D</v>
          </cell>
          <cell r="H233">
            <v>8</v>
          </cell>
        </row>
        <row r="234">
          <cell r="D234" t="str">
            <v>0ACTBJFK40000VV</v>
          </cell>
          <cell r="E234" t="str">
            <v>Caucete</v>
          </cell>
          <cell r="F234" t="str">
            <v>https://maps.app.goo.gl/fA13Zq9awe9Fu6c48</v>
          </cell>
          <cell r="G234" t="str">
            <v>https://www.google.com/maps/dir/Catamarca+Sur+664,+San+Juan/Escuela+Eni+N%C2%B029+Papa+Francisco,+J5442+Caucete,+San+Juan/Catamarca+Sur+664,+San+Juan/@-31.603555,-68.4825538,19736m/data=!3m2!1e3!4b1!4m20!4m19!1m5!1m1!1s0x9681402690dd76eb:0x4b283f8fe10ce3f3!2m2!1d-68.5293761!2d-31.5426363!1m5!1m1!1s0x96810f896a1db14b:0xd13365ff061f8237!2m2!1d-68.2692738!2d-31.6659258!1m5!1m1!1s0x9681402690dd76eb:0x4b283f8fe10ce3f3!2m2!1d-68.5293761!2d-31.5426363!3e0?entry=ttu&amp;g_ep=EgoyMDI1MDgxMy4wIKXMDSoASAFQAw%3D%3D</v>
          </cell>
          <cell r="H234">
            <v>63.6</v>
          </cell>
        </row>
        <row r="235">
          <cell r="D235" t="str">
            <v>0ACTBJFJ200009M</v>
          </cell>
          <cell r="E235" t="str">
            <v>Caucete</v>
          </cell>
          <cell r="F235" t="str">
            <v>https://maps.app.goo.gl/kUunbG3vkPLwyxph7</v>
          </cell>
          <cell r="G235" t="str">
            <v>https://www.google.com/maps/dir/Catamarca+Sur+664,+San+Juan/E.N.I.+N%C2%B0+41+%22DANTE+SAAVEDRA%22,+J5442+Caucete,+San+Juan/Catamarca+Sur+664,+San+Juan/@-31.5966112,-68.4912887,19738m/data=!3m2!1e3!4b1!4m20!4m19!1m5!1m1!1s0x9681402690dd76eb:0x4b283f8fe10ce3f3!2m2!1d-68.5293761!2d-31.5426363!1m5!1m1!1s0x96810fe112ea8801:0x4afb147e33172753!2m2!1d-68.2882995!2d-31.6520396!1m5!1m1!1s0x9681402690dd76eb:0x4b283f8fe10ce3f3!2m2!1d-68.5293761!2d-31.5426363!3e0?entry=ttu&amp;g_ep=EgoyMDI1MDgxMy4wIKXMDSoASAFQAw%3D%3D</v>
          </cell>
          <cell r="H235">
            <v>58.8</v>
          </cell>
        </row>
        <row r="236">
          <cell r="D236" t="str">
            <v>076UBJFG8000AKL</v>
          </cell>
          <cell r="E236" t="str">
            <v>Rawson</v>
          </cell>
          <cell r="F236" t="str">
            <v>https://maps.app.goo.gl/9nyJtCbchc5kKtPPA</v>
          </cell>
          <cell r="G236" t="str">
            <v>https://www.google.com/maps/dir/Catamarca+Sur+664,+San+Juan/Escuela+Hogar+%22Jos%C3%A9+Manuel+Estrada%22,+J5425+Villa+Krause,+San+Juan/Catamarca+Sur+664,+San+Juan/@-31.5562638,-68.5473263,4937m/data=!3m2!1e3!4b1!4m20!4m19!1m5!1m1!1s0x9681402690dd76eb:0x4b283f8fe10ce3f3!2m2!1d-68.5293761!2d-31.5426363!1m5!1m1!1s0x96814000b15bf8d9:0xcb9eae0fd9e699d2!2m2!1d-68.530994!2d-31.5702997!1m5!1m1!1s0x9681402690dd76eb:0x4b283f8fe10ce3f3!2m2!1d-68.5293761!2d-31.5426363!3e0?entry=ttu&amp;g_ep=EgoyMDI1MDgxMy4wIKXMDSoASAFQAw%3D%3D</v>
          </cell>
          <cell r="H236">
            <v>8.8000000000000007</v>
          </cell>
        </row>
        <row r="237">
          <cell r="D237" t="str">
            <v>076UBJFJ30000ML</v>
          </cell>
          <cell r="E237" t="str">
            <v>Pocito</v>
          </cell>
          <cell r="F237" t="str">
            <v>https://maps.app.goo.gl/1bZVDFQAmPMhm9Fi7</v>
          </cell>
          <cell r="G237" t="str">
            <v>https://www.google.com/maps/dir/Catamarca+Sur+664,+San+Juan/Escuela+Tierra+del+Fuego,+San+Juan/Catamarca+Sur+664,+San+Juan/@-31.6197952,-68.6397336,19733m/data=!3m2!1e3!4b1!4m20!4m19!1m5!1m1!1s0x9681402690dd76eb:0x4b283f8fe10ce3f3!2m2!1d-68.5293761!2d-31.5426363!1m5!1m1!1s0x96813d83ce085a23:0xc633c4def734f971!2m2!1d-68.6008086!2d-31.6868065!1m5!1m1!1s0x9681402690dd76eb:0x4b283f8fe10ce3f3!2m2!1d-68.5293761!2d-31.5426363!3e0?entry=ttu&amp;g_ep=EgoyMDI1MDgxMy4wIKXMDSoASAFQAw%3D%3D</v>
          </cell>
          <cell r="H237">
            <v>47.8</v>
          </cell>
        </row>
        <row r="238">
          <cell r="D238" t="str">
            <v>0ACTBJFJ500033E</v>
          </cell>
          <cell r="E238" t="str">
            <v>Albardón</v>
          </cell>
          <cell r="F238" t="str">
            <v>https://maps.app.goo.gl/YQRCq6fbggfK65tY9</v>
          </cell>
          <cell r="G238" t="str">
            <v>https://www.google.com/maps/dir/Catamarca+Sur+664,+San+Juan/Escuela+Camilo+Rojo,+Nacional,+J5419+Albard%C3%B3n,+San+Juan/Catamarca+Sur+664,+San+Juan/@-31.4917487,-68.601825,19760m/data=!3m2!1e3!4b1!4m20!4m19!1m5!1m1!1s0x9681402690dd76eb:0x4b283f8fe10ce3f3!2m2!1d-68.5293761!2d-31.5426363!1m5!1m1!1s0x96816830466dc90f:0x97d12f541d262eb2!2m2!1d-68.5107267!2d-31.4288377!1m5!1m1!1s0x9681402690dd76eb:0x4b283f8fe10ce3f3!2m2!1d-68.5293761!2d-31.5426363!3e0?entry=ttu&amp;g_ep=EgoyMDI1MDgxMy4wIKXMDSoASAFQAw%3D%3D</v>
          </cell>
          <cell r="H238">
            <v>35.4</v>
          </cell>
        </row>
        <row r="239">
          <cell r="D239" t="str">
            <v>076UBJFG800021J</v>
          </cell>
          <cell r="E239" t="str">
            <v>Pocito</v>
          </cell>
          <cell r="F239" t="str">
            <v>https://maps.app.goo.gl/MHcTkpD8JjjZ6i5d6</v>
          </cell>
          <cell r="G239" t="str">
            <v>https://www.google.com/maps/dir/Catamarca+Sur+664,+San+Juan/Escuela+Carlos+Saavedra+Lamas,+San+Juan/Catamarca+Sur+664,+San+Juan/@-31.5852082,-68.6151867,19740m/data=!3m2!1e3!4b1!4m20!4m19!1m5!1m1!1s0x9681402690dd76eb:0x4b283f8fe10ce3f3!2m2!1d-68.5293761!2d-31.5426363!1m5!1m1!1s0x96813f50db677485:0x49d2202216f9780e!2m2!1d-68.5511636!2d-31.6231798!1m5!1m1!1s0x9681402690dd76eb:0x4b283f8fe10ce3f3!2m2!1d-68.5293761!2d-31.5426363!3e0?entry=ttu&amp;g_ep=EgoyMDI1MDgxMy4wIKXMDSoASAFQAw%3D%3D</v>
          </cell>
          <cell r="H239">
            <v>26.1</v>
          </cell>
        </row>
        <row r="240">
          <cell r="D240" t="str">
            <v>0ACTBJFJ50000RA</v>
          </cell>
          <cell r="E240" t="str">
            <v>Albardón</v>
          </cell>
          <cell r="F240" t="str">
            <v>https://maps.google.com/maps?q=-31.4222551%2C-68.5462019&amp;z=17&amp;hl=es</v>
          </cell>
          <cell r="G240" t="str">
            <v>https://www.google.com/maps/dir/Catamarca+Sur+664,+San+Juan/Escuela+Villicum,+Albard%C3%B3n,+San+Juan/Catamarca+Sur+664,+San+Juan/@-31.4880747,-68.6080787,19761m/data=!3m2!1e3!4b1!4m20!4m19!1m5!1m1!1s0x9681402690dd76eb:0x4b283f8fe10ce3f3!2m2!1d-68.5293761!2d-31.5426363!1m5!1m1!1s0x968142957d87a17b:0xe0191f9b15d24db5!2m2!1d-68.5462102!2d-31.4221549!1m5!1m1!1s0x9681402690dd76eb:0x4b283f8fe10ce3f3!2m2!1d-68.5293761!2d-31.5426363!3e0?hl=es&amp;entry=ttu&amp;g_ep=EgoyMDI1MDgxMy4wIKXMDSoASAFQAw%3D%3D</v>
          </cell>
          <cell r="H240">
            <v>37.5</v>
          </cell>
        </row>
        <row r="241">
          <cell r="D241" t="str">
            <v>0ACTBJFJ500038T</v>
          </cell>
          <cell r="E241" t="str">
            <v>Pocito</v>
          </cell>
          <cell r="F241" t="str">
            <v>https://maps.app.goo.gl/qLqAjAwywsZPhSZN9</v>
          </cell>
          <cell r="G241" t="str">
            <v>https://www.google.com/maps/dir/Catamarca+Sur+664,+San+Juan/C.+17,+San+Juan/Catamarca+Sur+664,+San+Juan/@-31.6377021,-68.7041988,39458m/data=!3m2!1e3!4b1!4m20!4m19!1m5!1m1!1s0x9681402690dd76eb:0x4b283f8fe10ce3f3!2m2!1d-68.5293761!2d-31.5426363!1m5!1m1!1s0x96813d220cc1d33d:0x9e3171aec08a7ceb!2m2!1d-68.5651387!2d-31.7302271!1m5!1m1!1s0x9681402690dd76eb:0x4b283f8fe10ce3f3!2m2!1d-68.5293761!2d-31.5426363!3e0?entry=ttu&amp;g_ep=EgoyMDI1MDgxMy4wIKXMDSoASAFQAw%3D%3D</v>
          </cell>
          <cell r="H241">
            <v>47.6</v>
          </cell>
        </row>
        <row r="242">
          <cell r="D242" t="str">
            <v>0ACTBJFH90002EM</v>
          </cell>
          <cell r="E242" t="str">
            <v>Albardón</v>
          </cell>
          <cell r="F242" t="str">
            <v>https://maps.app.goo.gl/KDNdwH4TwRZHsJfF9</v>
          </cell>
          <cell r="G242" t="str">
            <v>https://www.google.com/maps/dir/Catamarca+Sur+664,+San+Juan/Escuela+Jose+Maria+Paz,+Calle+Gral.+Acha,+San+Juan/Catamarca+Sur+664,+San+Juan/@-31.4982485,-68.5873611,19758m/data=!3m2!1e3!4b1!4m20!4m19!1m5!1m1!1s0x9681402690dd76eb:0x4b283f8fe10ce3f3!2m2!1d-68.5293761!2d-31.5426363!1m5!1m1!1s0x9681690aa551bcd9:0x607e4b3f0b77ad7d!2m2!1d-68.4745843!2d-31.4442539!1m5!1m1!1s0x9681402690dd76eb:0x4b283f8fe10ce3f3!2m2!1d-68.5293761!2d-31.5426363!3e0?entry=ttu&amp;g_ep=EgoyMDI1MDgxMy4wIKXMDSoASAFQAw%3D%3D</v>
          </cell>
          <cell r="H242">
            <v>38.700000000000003</v>
          </cell>
        </row>
        <row r="243">
          <cell r="D243" t="str">
            <v>076UBJFJ300001Y</v>
          </cell>
          <cell r="E243" t="str">
            <v>Pocito</v>
          </cell>
          <cell r="F243" t="str">
            <v>https://maps.app.goo.gl/umqQ1jGpBkp3MjBAA</v>
          </cell>
          <cell r="G243" t="str">
            <v>https://www.google.com/maps/dir/Catamarca+Sur+664,+San+Juan/Escuela+Espa%C3%B1a,+RP7+217,+Villa+Aberastain,+San+Juan/Catamarca+Sur+664,+San+Juan/@-31.5965292,-68.6205935,19738m/data=!3m2!1e3!4b1!4m20!4m19!1m5!1m1!1s0x9681402690dd76eb:0x4b283f8fe10ce3f3!2m2!1d-68.5293761!2d-31.5426363!1m5!1m1!1s0x96813e65c80cb55b:0xee30e2238856ce66!2m2!1d-68.5627519!2d-31.6491711!1m5!1m1!1s0x9681402690dd76eb:0x4b283f8fe10ce3f3!2m2!1d-68.5293761!2d-31.5426363!3e0?entry=ttu&amp;g_ep=EgoyMDI1MDgxMy4wIKXMDSoASAFQAw%3D%3D</v>
          </cell>
          <cell r="H243">
            <v>32.200000000000003</v>
          </cell>
        </row>
        <row r="244">
          <cell r="D244" t="str">
            <v>076UBJFJ300005Z</v>
          </cell>
          <cell r="E244" t="str">
            <v>Pocito</v>
          </cell>
          <cell r="F244" t="str">
            <v>https://maps.app.goo.gl/4EgChcPmu6cSiNhD7</v>
          </cell>
          <cell r="G244" t="str">
            <v>https://www.google.com/maps/dir/Catamarca+Sur+664,+San+Juan/Escuela+General+Mariano+Acha,+Unnamed+Road,+San+Juan/Catamarca+Sur+664,+San+Juan/@-31.5761201,-68.5937682,9871m/data=!3m2!1e3!4b1!4m20!4m19!1m5!1m1!1s0x9681402690dd76eb:0x4b283f8fe10ce3f3!2m2!1d-68.5293761!2d-31.5426363!1m5!1m1!1s0x96813fdd832f6bfb:0xe3d9e23680d0052f!2m2!1d-68.5771836!2d-31.6104171!1m5!1m1!1s0x9681402690dd76eb:0x4b283f8fe10ce3f3!2m2!1d-68.5293761!2d-31.5426363!3e0?entry=ttu&amp;g_ep=EgoyMDI1MDgxMy4wIKXMDSoASAFQAw%3D%3D</v>
          </cell>
          <cell r="H244">
            <v>21</v>
          </cell>
        </row>
        <row r="245">
          <cell r="D245" t="str">
            <v>076UBJFH300030P</v>
          </cell>
          <cell r="E245" t="str">
            <v>Pocito</v>
          </cell>
          <cell r="F245" t="str">
            <v>https://maps.app.goo.gl/3CZXUTiwCyRCfwTu7</v>
          </cell>
          <cell r="G245" t="str">
            <v>https://www.google.com/maps/dir/Catamarca+Sur+664,+San+Juan/E.N.I.+N%C2%BA+33+MAR%C3%8DA+LAURA+DEVETACH,+Calle+9+antes+de,+C.+Vidart+S,+San+Juan/Catamarca+Sur+664,+San+Juan/@-31.5865207,-68.6320307,19740m/data=!3m2!1e3!4b1!4m20!4m19!1m5!1m1!1s0x9681402690dd76eb:0x4b283f8fe10ce3f3!2m2!1d-68.5293761!2d-31.5426363!1m5!1m1!1s0x96813efcc8607799:0x3c45139f462fc0b5!2m2!1d-68.5846289!2d-31.6278824!1m5!1m1!1s0x9681402690dd76eb:0x4b283f8fe10ce3f3!2m2!1d-68.5293761!2d-31.5426363!3e0?entry=ttu&amp;g_ep=EgoyMDI1MDgxMy4wIKXMDSoASAFQAw%3D%3D</v>
          </cell>
          <cell r="H245">
            <v>29.3</v>
          </cell>
        </row>
        <row r="246">
          <cell r="D246" t="str">
            <v>0ACTBJFHB0001HM</v>
          </cell>
          <cell r="E246" t="str">
            <v>Capital</v>
          </cell>
          <cell r="F246" t="str">
            <v>https://maps.app.goo.gl/gES6ub46Hj8kPbAa7</v>
          </cell>
          <cell r="G246" t="str">
            <v>https://www.google.com/maps/dir/Catamarca+Sur+664,+San+Juan/Escuela+de+Fruticultura+y+Enolog%C3%ADa+de+San+Juan,+700,+J5400GTT,+Paula+Albarrac%C3%ADn+de+Sarmiento+Nte.+602,+San+Juan/@-31.5342044,-68.5538613,2469m/data=!3m2!1e3!4b1!4m14!4m13!1m5!1m1!1s0x9681402690dd76eb:0x4b283f8fe10ce3f3!2m2!1d-68.5293761!2d-31.5426363!1m5!1m1!1s0x968141b3f9f6f6bd:0x51a5ca43958c75ef!2m2!1d-68.5550025!2d-31.5276274!3e0?entry=ttu&amp;g_ep=EgoyMDI1MDYxNy4wIKXMDSoASAFQAw%3D%3D</v>
          </cell>
          <cell r="H246">
            <v>16</v>
          </cell>
        </row>
        <row r="247">
          <cell r="D247" t="str">
            <v>0ACTBJFJ500021X</v>
          </cell>
          <cell r="E247" t="str">
            <v>Capital</v>
          </cell>
          <cell r="F247" t="str">
            <v>https://maps.app.goo.gl/gES6ub46Hj8kPbAa7</v>
          </cell>
          <cell r="G247" t="str">
            <v>https://www.google.com/maps/dir/Catamarca+Sur+664,+San+Juan/Escuela+de+Fruticultura+y+Enolog%C3%ADa+de+San+Juan,+700,+J5400GTT,+Paula+Albarrac%C3%ADn+de+Sarmiento+Nte.+602,+San+Juan/@-31.5342044,-68.5538613,2469m/data=!3m2!1e3!4b1!4m14!4m13!1m5!1m1!1s0x9681402690dd76eb:0x4b283f8fe10ce3f3!2m2!1d-68.5293761!2d-31.5426363!1m5!1m1!1s0x968141b3f9f6f6bd:0x51a5ca43958c75ef!2m2!1d-68.5550025!2d-31.5276274!3e0?entry=ttu&amp;g_ep=EgoyMDI1MDYxNy4wIKXMDSoASAFQAw%3D%3D</v>
          </cell>
          <cell r="H247">
            <v>16</v>
          </cell>
        </row>
        <row r="248">
          <cell r="D248" t="str">
            <v>0ACTBJFH90004HZ</v>
          </cell>
          <cell r="E248" t="str">
            <v>Chimbas</v>
          </cell>
          <cell r="F248" t="str">
            <v xml:space="preserve">https://maps.google.com/maps?q=-31.5069524%2C-68.5232644&amp;z=17&amp;hl=es </v>
          </cell>
          <cell r="G248" t="str">
            <v>https://www.google.com/maps/dir/Catamarca+Sur+664,+San+Juan/-31.5069524,-68.5232644/Catamarca+Sur+664,+San+Juan/@-31.5308723,-68.5583258,9876m/data=!3m2!1e3!4b1!4m15!4m14!1m5!1m1!1s0x9681402690dd76eb:0x4b283f8fe10ce3f3!2m2!1d-68.5293761!2d-31.5426363!1m0!1m5!1m1!1s0x9681402690dd76eb:0x4b283f8fe10ce3f3!2m2!1d-68.5293761!2d-31.5426363!3e0?hl=es&amp;entry=ttu&amp;g_ep=EgoyMDI1MDgxMy4wIKXMDSoASAFQAw%3D%3D</v>
          </cell>
          <cell r="H248">
            <v>15.5</v>
          </cell>
        </row>
        <row r="249">
          <cell r="D249" t="str">
            <v>0ACTBJFJ50003ED</v>
          </cell>
          <cell r="E249" t="str">
            <v>Chimbas</v>
          </cell>
          <cell r="F249" t="str">
            <v>https://maps.google.com/maps?q=-31.5067084%2C-68.5521852&amp;z=17&amp;hl=es</v>
          </cell>
          <cell r="G249" t="str">
            <v>https://www.google.com/maps/dir/Catamarca+Sur+664,+San+Juan/-31.5067084,-68.5521852/Catamarca+Sur+664,+San+Juan/@-31.5310006,-68.5853413,9876m/data=!3m2!1e3!4b1!4m15!4m14!1m5!1m1!1s0x9681402690dd76eb:0x4b283f8fe10ce3f3!2m2!1d-68.5293761!2d-31.5426363!1m0!1m5!1m1!1s0x9681402690dd76eb:0x4b283f8fe10ce3f3!2m2!1d-68.5293761!2d-31.5426363!3e0?hl=es&amp;entry=ttu&amp;g_ep=EgoyMDI1MDgxMy4wIKXMDSoASAFQAw%3D%3D</v>
          </cell>
          <cell r="H249">
            <v>15.2</v>
          </cell>
        </row>
        <row r="250">
          <cell r="D250" t="str">
            <v>076UBJFH10009FV</v>
          </cell>
          <cell r="E250" t="str">
            <v>25 de Mayo.</v>
          </cell>
          <cell r="F250" t="str">
            <v>https://maps.google.com/maps?q=-31.7014614%2C-68.3140015&amp;z=17&amp;hl=es</v>
          </cell>
          <cell r="G250" t="str">
            <v>https://www.google.com/maps/dir/Catamarca+Sur+664,+San+Juan/Escuela+Primaria+y+de+Nivel+Inicial+Pedro+Valenzuela,+C.+18,+San+Juan/Catamarca+Sur+664,+San+Juan/@-31.6213749,-68.5027676,19732m/data=!3m2!1e3!4b1!4m20!4m19!1m5!1m1!1s0x9681402690dd76eb:0x4b283f8fe10ce3f3!2m2!1d-68.5293761!2d-31.5426363!1m5!1m1!1s0x96810fc1da70ea35:0x935314127dfe365a!2m2!1d-68.3140823!2d-31.7015713!1m5!1m1!1s0x9681402690dd76eb:0x4b283f8fe10ce3f3!2m2!1d-68.5293761!2d-31.5426363!3e0?hl=es&amp;entry=ttu&amp;g_ep=EgoyMDI1MDgxMy4wIKXMDSoASAFQAw%3D%3D</v>
          </cell>
          <cell r="H250">
            <v>70.5</v>
          </cell>
        </row>
        <row r="251">
          <cell r="D251" t="str">
            <v>076UBJFG8000BTK</v>
          </cell>
          <cell r="E251" t="str">
            <v>9 de Julio.</v>
          </cell>
          <cell r="F251" t="str">
            <v>https://maps.google.com/maps?q=-31.6689862%2C-68.3908771&amp;z=17&amp;hl=es</v>
          </cell>
          <cell r="G251" t="str">
            <v>https://www.google.com/maps/dir/Catamarca+Sur+664,+San+Juan/Escuela+Granaderos+De+San+Mart%C3%ADn,+RP155,+Nueve+de+Julio,+San+Juan/Catamarca+Sur+664,+San+Juan/@-31.6052084,-68.5429086,19736m/data=!3m2!1e3!4b1!4m20!4m19!1m5!1m1!1s0x9681402690dd76eb:0x4b283f8fe10ce3f3!2m2!1d-68.5293761!2d-31.5426363!1m5!1m1!1s0x968111050dfd5ff7:0xc6d296a1b2624bc6!2m2!1d-68.3909199!2d-31.6688463!1m5!1m1!1s0x9681402690dd76eb:0x4b283f8fe10ce3f3!2m2!1d-68.5293761!2d-31.5426363!3e0?hl=es&amp;entry=ttu&amp;g_ep=EgoyMDI1MDgxMy4wIKXMDSoASAFQAw%3D%3D</v>
          </cell>
          <cell r="H251">
            <v>46.1</v>
          </cell>
        </row>
        <row r="252">
          <cell r="D252" t="str">
            <v>0ACTBJFK20002WE</v>
          </cell>
          <cell r="E252" t="str">
            <v>Chimbas</v>
          </cell>
          <cell r="F252" t="str">
            <v>https://maps.google.com/maps?q=-31.4925527%2C-68.5510932&amp;z=17&amp;hl=es</v>
          </cell>
          <cell r="G252" t="str">
            <v>https://www.google.com/maps/dir/Catamarca+Sur+664,+San+Juan/-31.4925527,-68.5510932/Catamarca+Sur+664,+San+Juan/@-31.5180523,-68.5816185,9877m/data=!3m2!1e3!4b1!4m15!4m14!1m5!1m1!1s0x9681402690dd76eb:0x4b283f8fe10ce3f3!2m2!1d-68.5293761!2d-31.5426363!1m0!1m5!1m1!1s0x9681402690dd76eb:0x4b283f8fe10ce3f3!2m2!1d-68.5293761!2d-31.5426363!3e0?hl=es&amp;entry=ttu&amp;g_ep=EgoyMDI1MDgxMy4wIKXMDSoASAFQAw%3D%3D</v>
          </cell>
          <cell r="H252">
            <v>14</v>
          </cell>
        </row>
        <row r="253">
          <cell r="D253" t="str">
            <v>0ACTBJFJ50003TT</v>
          </cell>
          <cell r="E253" t="str">
            <v>Chimbas</v>
          </cell>
          <cell r="F253" t="str">
            <v>https://maps.app.goo.gl/WeFfhbJnZ1GXEFnS8</v>
          </cell>
          <cell r="G253" t="str">
            <v>https://www.google.com/maps/dir/Catamarca+Sur+664,+San+Juan/Escuela+Welfried+Salinas,+Necochea+1108,+J5413+Chimbas,+San+Juan/Catamarca+Sur+664,+San+Juan/@-31.527894,-68.5606267,9876m/data=!3m2!1e3!4b1!4m20!4m19!1m5!1m1!1s0x9681402690dd76eb:0x4b283f8fe10ce3f3!2m2!1d-68.5293761!2d-31.5426363!1m5!1m1!1s0x96816a1315ce0853:0x86d251b84c471cb9!2m2!1d-68.5086433!2d-31.5009423!1m5!1m1!1s0x9681402690dd76eb:0x4b283f8fe10ce3f3!2m2!1d-68.5293761!2d-31.5426363!3e0?entry=ttu&amp;g_ep=EgoyMDI1MDgxMy4wIKXMDSoASAFQAw%3D%3D</v>
          </cell>
          <cell r="H253">
            <v>16.7</v>
          </cell>
        </row>
        <row r="254">
          <cell r="D254" t="str">
            <v>076UBJFG80004HB</v>
          </cell>
          <cell r="E254" t="str">
            <v>Caucete</v>
          </cell>
          <cell r="F254" t="str">
            <v>https://maps.google.com/maps?q=-31.6919363%2C-68.2216461&amp;z=17&amp;hl=es</v>
          </cell>
          <cell r="G254" t="str">
            <v>https://www.google.com/maps/dir/Catamarca+Sur+664,+San+Juan/Escuela+Obispo+Zapata,+RP227,+San+Juan/Catamarca+Sur+664,+San+Juan/@-31.6164439,-68.5402738,39467m/data=!3m2!1e3!4b1!4m20!4m19!1m5!1m1!1s0x9681402690dd76eb:0x4b283f8fe10ce3f3!2m2!1d-68.5293761!2d-31.5426363!1m5!1m1!1s0x9681061dea90e8f3:0x1c4334ba97fd3e47!2m2!1d-68.2220151!2d-31.692073!1m5!1m1!1s0x9681402690dd76eb:0x4b283f8fe10ce3f3!2m2!1d-68.5293761!2d-31.5426363!3e0?hl=es&amp;entry=ttu&amp;g_ep=EgoyMDI1MDgxMy4wIKXMDSoASAFQAw%3D%3D</v>
          </cell>
          <cell r="H254">
            <v>78.900000000000006</v>
          </cell>
        </row>
        <row r="255">
          <cell r="D255" t="str">
            <v>076UBJFG80002RV</v>
          </cell>
          <cell r="E255" t="str">
            <v>Caucete</v>
          </cell>
          <cell r="F255" t="str">
            <v>https://maps.google.com/maps?q=-31.6410328%2C-68.2366353&amp;z=17&amp;hl=es</v>
          </cell>
          <cell r="G255" t="str">
            <v>https://www.google.com/maps/dir/Catamarca+Sur+664,+San+Juan/Escuela+Jos%C3%A9+Mar%C3%ADa+De+Los+Rios,+Caucete,+San+Juan/Catamarca+Sur+664,+San+Juan/@-31.5961013,-68.5486465,39475m/data=!3m2!1e3!4b1!4m20!4m19!1m5!1m1!1s0x9681402690dd76eb:0x4b283f8fe10ce3f3!2m2!1d-68.5293761!2d-31.5426363!1m5!1m1!1s0x968109f128b35e47:0x85c4fe6f1d8dd501!2m2!1d-68.2365122!2d-31.6409885!1m5!1m1!1s0x9681402690dd76eb:0x4b283f8fe10ce3f3!2m2!1d-68.5293761!2d-31.5426363!3e0?hl=es&amp;entry=ttu&amp;g_ep=EgoyMDI1MDgxMy4wIKXMDSoASAFQAw%3D%3D</v>
          </cell>
          <cell r="H255">
            <v>68.900000000000006</v>
          </cell>
        </row>
        <row r="256">
          <cell r="D256" t="str">
            <v>0ACTBJFH90000FA</v>
          </cell>
          <cell r="E256" t="str">
            <v>Angaco</v>
          </cell>
          <cell r="F256" t="str">
            <v>https://maps.google.com/maps?q=-31.4566979%2C-68.3418008&amp;z=17&amp;hl=es</v>
          </cell>
          <cell r="G256" t="str">
            <v>https://www.google.com/maps/dir/Catamarca+Sur+664,+San+Juan/Escuela+Vicecomodoro+Marambio,+San+Juan/Catamarca+Sur+664,+San+Juan/@-31.5056362,-68.5195801,19757m/data=!3m2!1e3!4b1!4m20!4m19!1m5!1m1!1s0x9681402690dd76eb:0x4b283f8fe10ce3f3!2m2!1d-68.5293761!2d-31.5426363!1m5!1m1!1s0x96816dfc76551a0d:0x36fbd2e5acade403!2m2!1d-68.3417852!2d-31.4566686!1m5!1m1!1s0x9681402690dd76eb:0x4b283f8fe10ce3f3!2m2!1d-68.5293761!2d-31.5426363!3e0?hl=es&amp;entry=ttu&amp;g_ep=EgoyMDI1MDgxMy4wIKXMDSoASAFQAw%3D%3D</v>
          </cell>
          <cell r="H256">
            <v>60.8</v>
          </cell>
        </row>
        <row r="257">
          <cell r="D257" t="str">
            <v>076UBJFJA00042E</v>
          </cell>
          <cell r="E257" t="str">
            <v>Angaco</v>
          </cell>
          <cell r="F257" t="str">
            <v>https://maps.google.com/maps?q=-31.4435883%2C-68.2819862&amp;z=17&amp;hl=es</v>
          </cell>
          <cell r="G257" t="str">
            <v>https://www.google.com/maps/dir/Catamarca+Sur+664,+San+Juan/Escuela+Juan+Pascual+Pringles+EMER,+RP63,+San+Juan/Catamarca+Sur+664,+San+Juan/@-31.4890747,-68.4913382,19760m/data=!3m2!1e3!4b1!4m20!4m19!1m5!1m1!1s0x9681402690dd76eb:0x4b283f8fe10ce3f3!2m2!1d-68.5293761!2d-31.5426363!1m5!1m1!1s0x9681731c396cd41f:0xd4c969ac2c8f3154!2m2!1d-68.2821891!2d-31.4435095!1m5!1m1!1s0x9681402690dd76eb:0x4b283f8fe10ce3f3!2m2!1d-68.5293761!2d-31.5426363!3e0?hl=es&amp;entry=ttu&amp;g_ep=EgoyMDI1MDgxMy4wIKXMDSoASAFQAw%3D%3D</v>
          </cell>
          <cell r="H257">
            <v>75.3</v>
          </cell>
        </row>
        <row r="258">
          <cell r="D258" t="str">
            <v>076UBJFG80008QV</v>
          </cell>
          <cell r="E258" t="str">
            <v>Angaco</v>
          </cell>
          <cell r="F258" t="str">
            <v>https://maps.google.com/maps?q=-31.4084525%2C-68.2991293&amp;z=17&amp;hl=es</v>
          </cell>
          <cell r="G258" t="str">
            <v>https://www.google.com/maps/dir/Catamarca+Sur+664,+San+Juan/Escuela+Juan+Huarpe,+calle+pinchahual+entre+velazquez+y+21+de+febrero/Catamarca+Sur+664,+San+Juan/@-31.4816242,-68.499817,19762m/data=!3m2!1e3!4b1!4m20!4m19!1m5!1m1!1s0x9681402690dd76eb:0x4b283f8fe10ce3f3!2m2!1d-68.5293761!2d-31.5426363!1m5!1m1!1s0x96817e7b452184c5:0xbcb83a74e6c79ca8!2m2!1d-68.2991585!2d-31.4086273!1m5!1m1!1s0x9681402690dd76eb:0x4b283f8fe10ce3f3!2m2!1d-68.5293761!2d-31.5426363!3e0?hl=es&amp;entry=ttu&amp;g_ep=EgoyMDI1MDgxMy4wIKXMDSoASAFQAw%3D%3D</v>
          </cell>
          <cell r="H258">
            <v>78</v>
          </cell>
        </row>
        <row r="259">
          <cell r="D259" t="str">
            <v>0ACTBJFK20008TD</v>
          </cell>
          <cell r="E259" t="str">
            <v>Angaco</v>
          </cell>
          <cell r="F259" t="str">
            <v>https://maps.google.com/maps?q=-31.4450366%2C-68.4264003&amp;z=17&amp;hl=es</v>
          </cell>
          <cell r="G259" t="str">
            <v>https://www.google.com/maps/dir/Catamarca+Sur+664,+San+Juan/Escuela+Jose+Segovia,+San+Juan/Catamarca+Sur+664,+San+Juan/@-31.4968518,-68.5634527,19759m/data=!3m2!1e3!4b1!4m20!4m19!1m5!1m1!1s0x9681402690dd76eb:0x4b283f8fe10ce3f3!2m2!1d-68.5293761!2d-31.5426363!1m5!1m1!1s0x96816eb5789c8075:0xf42f70d4d5ff673a!2m2!1d-68.4263632!2d-31.4449227!1m5!1m1!1s0x9681402690dd76eb:0x4b283f8fe10ce3f3!2m2!1d-68.5293761!2d-31.5426363!3e0?hl=es&amp;entry=ttu&amp;g_ep=EgoyMDI1MDgxMy4wIKXMDSoASAFQAw%3D%3D</v>
          </cell>
          <cell r="H259">
            <v>48</v>
          </cell>
        </row>
        <row r="260">
          <cell r="D260" t="str">
            <v>0ACTBJFJ400035A</v>
          </cell>
          <cell r="E260" t="str">
            <v>Angaco</v>
          </cell>
          <cell r="F260" t="str">
            <v>https://maps.google.com/maps?q=-31.4355875%2C-68.3808905&amp;z=17&amp;hl=es</v>
          </cell>
          <cell r="G260" t="str">
            <v>https://www.google.com/maps/dir/Catamarca+Sur+664,+San+Juan/Escuela+Capit%C3%A1n+Juan+Eugenio+de+Mallea+-+E.M.E.R.,+Calle+1+9,+San+Juan/Catamarca+Sur+664,+San+Juan/@-31.4890747,-68.5403267,19760m/data=!3m2!1e3!4b1!4m20!4m19!1m5!1m1!1s0x9681402690dd76eb:0x4b283f8fe10ce3f3!2m2!1d-68.5293761!2d-31.5426363!1m5!1m1!1s0x96816e5fee3476cf:0x6efc977c7bbffdd!2m2!1d-68.3813078!2d-31.4355676!1m5!1m1!1s0x9681402690dd76eb:0x4b283f8fe10ce3f3!2m2!1d-68.5293761!2d-31.5426363!3e0?hl=es&amp;entry=ttu&amp;g_ep=EgoyMDI1MDgxMy4wIKXMDSoASAFQAw%3D%3D</v>
          </cell>
          <cell r="H260">
            <v>55.4</v>
          </cell>
        </row>
        <row r="261">
          <cell r="D261" t="str">
            <v>076UBJFH60000TW</v>
          </cell>
          <cell r="E261" t="str">
            <v>9 de Julio.</v>
          </cell>
          <cell r="F261" t="str">
            <v>https://maps.google.com/maps?q=-31.6689862%2C-68.3908771&amp;z=17&amp;hl=es</v>
          </cell>
          <cell r="G261" t="str">
            <v>https://www.google.com/maps/dir/Catamarca+Sur+664,+San+Juan/Escuela+Granaderos+De+San+Mart%C3%ADn,+RP155,+Nueve+de+Julio,+San+Juan/Catamarca+Sur+664,+San+Juan/@-31.6052084,-68.5429086,19736m/data=!3m2!1e3!4b1!4m20!4m19!1m5!1m1!1s0x9681402690dd76eb:0x4b283f8fe10ce3f3!2m2!1d-68.5293761!2d-31.5426363!1m5!1m1!1s0x968111050dfd5ff7:0xc6d296a1b2624bc6!2m2!1d-68.3909199!2d-31.6688463!1m5!1m1!1s0x9681402690dd76eb:0x4b283f8fe10ce3f3!2m2!1d-68.5293761!2d-31.5426363!3e0?hl=es&amp;entry=ttu&amp;g_ep=EgoyMDI1MDgxMy4wIKXMDSoASAFQAw%3D%3D</v>
          </cell>
          <cell r="H261">
            <v>46.1</v>
          </cell>
        </row>
        <row r="262">
          <cell r="D262" t="str">
            <v>076UBJFG8000A9R</v>
          </cell>
          <cell r="E262" t="str">
            <v>Rivadavia</v>
          </cell>
          <cell r="F262" t="str">
            <v>https://maps.google.com/maps?q=-31.5129815%2C-68.5814749&amp;z=17&amp;hl=es</v>
          </cell>
          <cell r="G262" t="str">
            <v>https://www.google.com/maps/dir/Catamarca+Sur+664,+San+Juan/-31.5129815,-68.5814749/Catamarca+Sur+664,+San+Juan/@-31.533473,-68.5967409,9875m/data=!3m2!1e3!4b1!4m15!4m14!1m5!1m1!1s0x9681402690dd76eb:0x4b283f8fe10ce3f3!2m2!1d-68.5293761!2d-31.5426363!1m0!1m5!1m1!1s0x9681402690dd76eb:0x4b283f8fe10ce3f3!2m2!1d-68.5293761!2d-31.5426363!3e0?hl=es&amp;entry=ttu&amp;g_ep=EgoyMDI1MDgxMy4wIKXMDSoASAFQAw%3D%3D</v>
          </cell>
          <cell r="H262">
            <v>18.100000000000001</v>
          </cell>
        </row>
        <row r="263">
          <cell r="D263" t="str">
            <v>076UBJFH10004FF</v>
          </cell>
          <cell r="E263" t="str">
            <v>Rivadavia</v>
          </cell>
          <cell r="F263" t="str">
            <v>https://maps.google.com/maps?q=-31.5466106%2C-68.6254366&amp;z=17&amp;hl=es</v>
          </cell>
          <cell r="G263" t="str">
            <v>https://www.google.com/maps/dir/Catamarca+Sur+664,+San+Juan/Escuela+Barrio+Nuevo+Cuyo,+J5407+Rivadavia,+San+Juan/Catamarca+Sur+664,+San+Juan/@-31.5417743,-68.6186242,9875m/data=!3m2!1e3!4b1!4m20!4m19!1m5!1m1!1s0x9681402690dd76eb:0x4b283f8fe10ce3f3!2m2!1d-68.5293761!2d-31.5426363!1m5!1m1!1s0x9681472a3048f60f:0xf636a1e0f2f328e1!2m2!1d-68.6254823!2d-31.546363!1m5!1m1!1s0x9681402690dd76eb:0x4b283f8fe10ce3f3!2m2!1d-68.5293761!2d-31.5426363!3e0?hl=es&amp;entry=ttu&amp;g_ep=EgoyMDI1MDgxMy4wIKXMDSoASAFQAw%3D%3D</v>
          </cell>
          <cell r="H263">
            <v>20.9</v>
          </cell>
        </row>
        <row r="264">
          <cell r="D264" t="str">
            <v>076UBJFG80006AW</v>
          </cell>
          <cell r="E264" t="str">
            <v>Rivadavia</v>
          </cell>
          <cell r="F264" t="str">
            <v>https://maps.google.com/maps?q=-31.5386566%2C-68.5688171&amp;z=17&amp;hl=es</v>
          </cell>
          <cell r="G264" t="str">
            <v>https://www.google.com/maps/dir/Catamarca+Sur+664,+San+Juan/-31.5386566,-68.5688171/@-31.5407282,-68.5690967,4937m/data=!3m2!1e3!4b1!4m9!4m8!1m5!1m1!1s0x9681402690dd76eb:0x4b283f8fe10ce3f3!2m2!1d-68.5293761!2d-31.5426363!1m0!3e0?hl=es&amp;entry=ttu&amp;g_ep=EgoyMDI1MDYxNy4wIKXMDSoASAFQAw%3D%3D</v>
          </cell>
          <cell r="H264">
            <v>9</v>
          </cell>
        </row>
        <row r="265">
          <cell r="D265" t="str">
            <v>0ACTBJFJ50001QH</v>
          </cell>
          <cell r="E265" t="str">
            <v>Rivadavia</v>
          </cell>
          <cell r="F265" t="str">
            <v>https://maps.google.com/maps?q=-31.5488893%2C-68.5901467&amp;z=17&amp;hl=es</v>
          </cell>
          <cell r="G265" t="str">
            <v>https://www.google.com/maps/dir/Catamarca+Sur+664,+San+Juan/-31.5488893,-68.5901467/@-31.5489745,-68.5797346,4937m/data=!3m2!1e3!4b1!4m9!4m8!1m5!1m1!1s0x9681402690dd76eb:0x4b283f8fe10ce3f3!2m2!1d-68.5293761!2d-31.5426363!1m0!3e0?hl=es&amp;entry=ttu&amp;g_ep=EgoyMDI1MDYxNy4wIKXMDSoASAFQAw%3D%3D</v>
          </cell>
          <cell r="H265">
            <v>16</v>
          </cell>
        </row>
        <row r="266">
          <cell r="D266" t="str">
            <v>0ACTBJFJ50004JA</v>
          </cell>
          <cell r="E266" t="str">
            <v>Rivadavia</v>
          </cell>
          <cell r="F266" t="str">
            <v>https://maps.google.com/maps?q=-31.5330086%2C-68.6010437&amp;z=17&amp;hl=es</v>
          </cell>
          <cell r="G266" t="str">
            <v>https://www.google.com/maps/dir/Catamarca+Sur+664,+San+Juan/-31.5330086,-68.6010437/@-31.5370307,-68.6064508,9875m/data=!3m2!1e3!4b1!4m9!4m8!1m5!1m1!1s0x9681402690dd76eb:0x4b283f8fe10ce3f3!2m2!1d-68.5293761!2d-31.5426363!1m0!3e0?hl=es&amp;entry=ttu&amp;g_ep=EgoyMDI1MDYxNy4wIKXMDSoASAFQAw%3D%3D</v>
          </cell>
          <cell r="H266">
            <v>16</v>
          </cell>
        </row>
        <row r="267">
          <cell r="D267" t="str">
            <v>0ACTBJFJ40003SV</v>
          </cell>
          <cell r="E267" t="str">
            <v>Caucete</v>
          </cell>
          <cell r="F267" t="str">
            <v>https://maps.google.com/maps?q=-31.7027346%2C-68.2856749&amp;z=17&amp;hl=es</v>
          </cell>
          <cell r="G267" t="str">
            <v>https://www.google.com/maps/dir/Catamarca+Sur+664,+San+Juan/Escuela+SUBOFICIAL+MAYOR+SEGUNDO+ANTENOR+YUBEL,+Caucete,+San+Juan/Catamarca+Sur+664,+San+Juan/@-31.6230172,-68.49069,19732m/data=!3m2!1e3!4b1!4m20!4m19!1m5!1m1!1s0x9681402690dd76eb:0x4b283f8fe10ce3f3!2m2!1d-68.5293761!2d-31.5426363!1m5!1m1!1s0x96810561c98f09d3:0xe543d87efd99502e!2m2!1d-68.2854145!2d-31.7027655!1m5!1m1!1s0x9681402690dd76eb:0x4b283f8fe10ce3f3!2m2!1d-68.5293761!2d-31.5426363!3e0?hl=es&amp;entry=ttu&amp;g_ep=EgoyMDI1MDgxMy4wIKXMDSoASAFQAw%3D%3D</v>
          </cell>
          <cell r="H267">
            <v>73.400000000000006</v>
          </cell>
        </row>
        <row r="268">
          <cell r="D268" t="str">
            <v>0ACTBJFJ500028H</v>
          </cell>
          <cell r="E268" t="str">
            <v>Rivadavia</v>
          </cell>
          <cell r="F268" t="str">
            <v>https://maps.google.com/maps?q=-31.5131367%2C-68.5811867&amp;z=17&amp;hl=es</v>
          </cell>
          <cell r="G268" t="str">
            <v>https://www.google.com/maps/dir/Catamarca+Sur+664,+San+Juan/E.N.I.N%C2%B013,+J5406+Rivadavia,+San+Juan/Catamarca+Sur+664,+San+Juan/@-31.5340364,-68.5964729,9875m/data=!3m2!1e3!4b1!4m20!4m19!1m5!1m1!1s0x9681402690dd76eb:0x4b283f8fe10ce3f3!2m2!1d-68.5293761!2d-31.5426363!1m5!1m1!1s0x9681417302e60f65:0xb7a175894474deb0!2m2!1d-68.5811364!2d-31.513013!1m5!1m1!1s0x9681402690dd76eb:0x4b283f8fe10ce3f3!2m2!1d-68.5293761!2d-31.5426363!3e0?hl=es&amp;entry=ttu&amp;g_ep=EgoyMDI1MDgxMy4wIKXMDSoASAFQAw%3D%3D</v>
          </cell>
          <cell r="H268">
            <v>17.7</v>
          </cell>
        </row>
        <row r="269">
          <cell r="D269" t="str">
            <v>076UBJFGC0000SF</v>
          </cell>
          <cell r="E269" t="str">
            <v>Zonda</v>
          </cell>
          <cell r="F269" t="str">
            <v>https://maps.google.com/maps?q=-31.5366469%2C-68.7153943&amp;z=17&amp;hl=es</v>
          </cell>
          <cell r="G269" t="str">
            <v>https://www.google.com/maps/dir/Catamarca+Sur+664,+San+Juan/Escuela+Agrot%C3%A9cnica+Zonda,+Fray+Justo+Sta.+Mar%C3%ADa+de+Oro,+San+Juan/Catamarca+Sur+664,+San+Juan/@-31.5453152,-68.7084568,19748m/data=!3m1!1e3!4m20!4m19!1m5!1m1!1s0x9681402690dd76eb:0x4b283f8fe10ce3f3!2m2!1d-68.5293761!2d-31.5426363!1m5!1m1!1s0x9681461fd85a9739:0x9b8ea0b842c2a04a!2m2!1d-68.7156428!2d-31.5367163!1m5!1m1!1s0x9681402690dd76eb:0x4b283f8fe10ce3f3!2m2!1d-68.5293761!2d-31.5426363!3e0?hl=es&amp;entry=ttu&amp;g_ep=EgoyMDI1MDgxMy4wIKXMDSoASAFQAw%3D%3D</v>
          </cell>
          <cell r="H269">
            <v>47.9</v>
          </cell>
        </row>
        <row r="270">
          <cell r="D270" t="str">
            <v>0ACTBJFH90002ZF</v>
          </cell>
          <cell r="E270" t="str">
            <v>Capital</v>
          </cell>
          <cell r="F270" t="str">
            <v>https://maps.google.com/maps?q=-31.5391449%2C-68.5240469&amp;z=17&amp;hl=es</v>
          </cell>
          <cell r="G270" t="str">
            <v>https://www.google.com/maps/dir/Catamarca+Sur+664,+San+Juan/-31.5391449,-68.5240469/@-31.5408963,-68.5293741,617m/data=!3m2!1e3!4b1!4m9!4m8!1m5!1m1!1s0x9681402690dd76eb:0x4b283f8fe10ce3f3!2m2!1d-68.5293761!2d-31.5426363!1m0!3e0?hl=es&amp;entry=ttu&amp;g_ep=EgoyMDI1MDYxNy4wIKXMDSoASAFQAw%3D%3D</v>
          </cell>
          <cell r="H270">
            <v>2</v>
          </cell>
        </row>
        <row r="271">
          <cell r="D271" t="str">
            <v>0ACTBJFJ40003RF</v>
          </cell>
          <cell r="E271" t="str">
            <v>Capital</v>
          </cell>
          <cell r="F271" t="str">
            <v>https://maps.google.com/maps?q=-31.5468504%2C-68.5125033&amp;z=17&amp;hl=es</v>
          </cell>
          <cell r="G271" t="str">
            <v>https://www.google.com/maps/dir/Catamarca+Sur+664,+San+Juan/-31.5468504,-68.5125033/@-31.5447861,-68.5314017,2469m/data=!3m2!1e3!4b1!4m9!4m8!1m5!1m1!1s0x9681402690dd76eb:0x4b283f8fe10ce3f3!2m2!1d-68.5293761!2d-31.5426363!1m0!3e0?hl=es&amp;entry=ttu&amp;g_ep=EgoyMDI1MDYxNy4wIKXMDSoASAFQAw%3D%3D</v>
          </cell>
          <cell r="H271">
            <v>5</v>
          </cell>
        </row>
        <row r="272">
          <cell r="D272" t="str">
            <v>0ACTBJFHB00004K</v>
          </cell>
          <cell r="E272" t="str">
            <v>Capital</v>
          </cell>
          <cell r="F272" t="str">
            <v>https://maps.google.com/maps?q=-31.5267734%2C-68.5653156&amp;z=17&amp;hl=es</v>
          </cell>
          <cell r="G272" t="str">
            <v>https://www.google.com/maps/dir/Catamarca+Sur+664,+San+Juan/-31.5267734,-68.5653156/Catamarca+Sur+664,+San+Juan/@-31.540926,-68.5683393,4937m/data=!3m2!1e3!4b1!4m15!4m14!1m5!1m1!1s0x9681402690dd76eb:0x4b283f8fe10ce3f3!2m2!1d-68.5293761!2d-31.5426363!1m0!1m5!1m1!1s0x9681402690dd76eb:0x4b283f8fe10ce3f3!2m2!1d-68.5293761!2d-31.5426363!3e0?hl=es&amp;entry=ttu&amp;g_ep=EgoyMDI1MDgxMy4wIKXMDSoASAFQAw%3D%3D</v>
          </cell>
          <cell r="H272">
            <v>11.8</v>
          </cell>
        </row>
        <row r="273">
          <cell r="D273" t="str">
            <v>076UBJFH10000FE</v>
          </cell>
          <cell r="E273" t="str">
            <v>Capital</v>
          </cell>
          <cell r="F273" t="str">
            <v>https://maps.google.com/maps?q=-31.5176686%2C-68.514599&amp;z=17&amp;hl=es</v>
          </cell>
          <cell r="G273" t="str">
            <v>https://www.google.com/maps/dir/Catamarca+Sur+664,+San+Juan/-31.5176686,-68.514599/@-31.5292982,-68.5457765,4938m/data=!3m2!1e3!4b1!4m9!4m8!1m5!1m1!1s0x9681402690dd76eb:0x4b283f8fe10ce3f3!2m2!1d-68.5293761!2d-31.5426363!1m0!3e0?hl=es&amp;entry=ttu&amp;g_ep=EgoyMDI1MDYxNy4wIKXMDSoASAFQAw%3D%3D</v>
          </cell>
          <cell r="H273">
            <v>9</v>
          </cell>
        </row>
        <row r="274">
          <cell r="D274" t="str">
            <v>0ACTBJFJ400039E</v>
          </cell>
          <cell r="E274" t="str">
            <v>Capital</v>
          </cell>
          <cell r="F274" t="str">
            <v>https://maps.google.com/maps?q=-31.5267734%2C-68.5653156&amp;z=17&amp;hl=es</v>
          </cell>
          <cell r="G274" t="str">
            <v>https://www.google.com/maps/dir/Catamarca+Sur+664,+San+Juan/-31.5267734,-68.5653156/Catamarca+Sur+664,+San+Juan/@-31.540926,-68.5683393,4937m/data=!3m2!1e3!4b1!4m15!4m14!1m5!1m1!1s0x9681402690dd76eb:0x4b283f8fe10ce3f3!2m2!1d-68.5293761!2d-31.5426363!1m0!1m5!1m1!1s0x9681402690dd76eb:0x4b283f8fe10ce3f3!2m2!1d-68.5293761!2d-31.5426363!3e0?hl=es&amp;entry=ttu&amp;g_ep=EgoyMDI1MDgxMy4wIKXMDSoASAFQAw%3D%3D</v>
          </cell>
          <cell r="H274">
            <v>11.8</v>
          </cell>
        </row>
        <row r="275">
          <cell r="D275" t="str">
            <v>0ACTBJFK200018H</v>
          </cell>
          <cell r="E275" t="str">
            <v>Rivadavia</v>
          </cell>
          <cell r="F275" t="str">
            <v>https://maps.google.com/maps?q=-31.5529495%2C-68.5667734&amp;z=17&amp;hl=es</v>
          </cell>
          <cell r="G275" t="str">
            <v>https://www.google.com/maps/dir/Catamarca+Sur+664,+San+Juan/-31.5529495,-68.5667734/@-31.5489745,-68.568082,4937m/data=!3m2!1e3!4b1!4m9!4m8!1m5!1m1!1s0x9681402690dd76eb:0x4b283f8fe10ce3f3!2m2!1d-68.5293761!2d-31.5426363!1m0!3e0?hl=es&amp;entry=ttu&amp;g_ep=EgoyMDI1MDYxNy4wIKXMDSoASAFQAw%3D%3D</v>
          </cell>
          <cell r="H275">
            <v>11</v>
          </cell>
        </row>
        <row r="276">
          <cell r="D276" t="str">
            <v>0ACTBJFJ50001AZ</v>
          </cell>
          <cell r="E276" t="str">
            <v>Rivadavia</v>
          </cell>
          <cell r="F276" t="str">
            <v>https://maps.google.com/maps?q=-31.5477%2C-68.5549089&amp;z=17&amp;hl=es</v>
          </cell>
          <cell r="G276" t="str">
            <v>https://www.google.com/maps/dir/Catamarca+Sur+664,+San+Juan/-31.5477,-68.5549089/@-31.5477345,-68.5504086,2468m/data=!3m2!1e3!4b1!4m9!4m8!1m5!1m1!1s0x9681402690dd76eb:0x4b283f8fe10ce3f3!2m2!1d-68.5293761!2d-31.5426363!1m0!3e0?hl=es&amp;entry=ttu&amp;g_ep=EgoyMDI1MDYxNy4wIKXMDSoASAFQAw%3D%3D</v>
          </cell>
          <cell r="H276">
            <v>7</v>
          </cell>
        </row>
        <row r="277">
          <cell r="D277" t="str">
            <v>076UBJFG80001XL</v>
          </cell>
          <cell r="E277" t="str">
            <v>Santa Lucía</v>
          </cell>
          <cell r="F277" t="str">
            <v>https://maps.google.com/maps?q=-31.5415168%2C-68.4957177&amp;z=17&amp;hl=es</v>
          </cell>
          <cell r="G277" t="str">
            <v>https://www.google.com/maps/dir/Catamarca+Sur+664,+San+Juan/-31.5415168,-68.4957177/@-31.5478201,-68.5332861,4937m/data=!3m2!1e3!4b1!4m9!4m8!1m5!1m1!1s0x9681402690dd76eb:0x4b283f8fe10ce3f3!2m2!1d-68.5293761!2d-31.5426363!1m0!3e0?hl=es&amp;entry=ttu&amp;g_ep=EgoyMDI1MDYxNy4wIKXMDSoASAFQAw%3D%3D</v>
          </cell>
          <cell r="H277">
            <v>7</v>
          </cell>
        </row>
        <row r="278">
          <cell r="D278" t="str">
            <v>0ACTBJFJ500032R</v>
          </cell>
          <cell r="E278" t="str">
            <v>RIVADAVIA</v>
          </cell>
          <cell r="F278" t="str">
            <v>https://maps.google.com/maps?q=-31.5285055%2C-68.5802747&amp;z=17&amp;hl=es</v>
          </cell>
          <cell r="G278" t="str">
            <v>https://www.google.com/maps/dir/Catamarca+Sur+664,+San+Juan/-31.5285055,-68.5802747/@-31.5362356,-68.5750263,4938m/data=!3m2!1e3!4b1!4m9!4m8!1m5!1m1!1s0x9681402690dd76eb:0x4b283f8fe10ce3f3!2m2!1d-68.5293761!2d-31.5426363!1m0!3e0?hl=es&amp;entry=ttu&amp;g_ep=EgoyMDI1MDYxNy4wIKXMDSoASAFQAw%3D%3D</v>
          </cell>
          <cell r="H278">
            <v>12</v>
          </cell>
        </row>
        <row r="279">
          <cell r="D279" t="str">
            <v>0ACTBJFK20003DE</v>
          </cell>
          <cell r="E279" t="str">
            <v>RIVADAVIA</v>
          </cell>
          <cell r="F279" t="str">
            <v>https://maps.google.com/maps?q=-31.5469757%2C-68.5544785&amp;z=17&amp;hl=es</v>
          </cell>
          <cell r="G279" t="str">
            <v>https://www.google.com/maps/dir/Catamarca+Sur+664,+San+Juan/-31.5469757,-68.5544785/@-31.5437449,-68.5519566,2469m/data=!3m2!1e3!4b1!4m9!4m8!1m5!1m1!1s0x9681402690dd76eb:0x4b283f8fe10ce3f3!2m2!1d-68.5293761!2d-31.5426363!1m0!3e0?hl=es&amp;entry=ttu&amp;g_ep=EgoyMDI1MDYxNy4wIKXMDSoASAFQAw%3D%3D</v>
          </cell>
          <cell r="H279">
            <v>7</v>
          </cell>
        </row>
        <row r="280">
          <cell r="D280" t="str">
            <v>076UBJFG8000C3B</v>
          </cell>
          <cell r="E280" t="str">
            <v>Capital</v>
          </cell>
          <cell r="F280" t="str">
            <v>https://maps.google.com/maps?q=-31.5113643%2C-68.5293793&amp;z=17&amp;hl=es</v>
          </cell>
          <cell r="G280" t="str">
            <v>https://www.google.com/maps/dir/Catamarca+Sur+664,+San+Juan/-31.5113643,-68.5293793/@-31.5269091,-68.5493955,4938m/data=!3m2!1e3!4b1!4m9!4m8!1m5!1m1!1s0x9681402690dd76eb:0x4b283f8fe10ce3f3!2m2!1d-68.5293761!2d-31.5426363!1m0!3e0?hl=es&amp;entry=ttu&amp;g_ep=EgoyMDI1MDYxNy4wIKXMDSoASAFQAw%3D%3D</v>
          </cell>
          <cell r="H280">
            <v>8</v>
          </cell>
        </row>
        <row r="281">
          <cell r="D281" t="str">
            <v>0ACTBJFJ50003BH</v>
          </cell>
          <cell r="E281" t="str">
            <v>Chimbas</v>
          </cell>
          <cell r="F281" t="str">
            <v>https://maps.app.goo.gl/vavboXWSS6DChvDT8?g_st=aw</v>
          </cell>
          <cell r="G281" t="str">
            <v>https://www.google.com/maps/dir/Catamarca+Sur+664,+San+Juan/Escuela+Transito+De+Oro,+y,+Pelayes+%26+Oratorio/Catamarca+Sur+664,+San+Juan/@-31.5229478,-68.5430617,9877m/data=!3m2!1e3!4b1!4m20!4m19!1m5!1m1!1s0x9681402690dd76eb:0x4b283f8fe10ce3f3!2m2!1d-68.5293761!2d-31.5426363!1m5!1m1!1s0x96816bcb09391f43:0xcb17dca1cca91c2!2m2!1d-68.4751781!2d-31.4911146!1m5!1m1!1s0x9681402690dd76eb:0x4b283f8fe10ce3f3!2m2!1d-68.5293761!2d-31.5426363!3e0?entry=ttu&amp;g_ep=EgoyMDI1MDgxMy4wIKXMDSoASAFQAw%3D%3D</v>
          </cell>
          <cell r="H281">
            <v>23.4</v>
          </cell>
        </row>
        <row r="282">
          <cell r="D282" t="str">
            <v>0ACTBJFK40000WY</v>
          </cell>
          <cell r="E282" t="str">
            <v>Caucete</v>
          </cell>
          <cell r="F282" t="str">
            <v>https://maps.google.com/maps?q=-31.663204%2C-68.2204522&amp;z=17&amp;hl=es</v>
          </cell>
          <cell r="G282" t="str">
            <v>https://www.google.com/maps/dir/Catamarca+Sur+664,+San+Juan/Arturo+Beruti,+San+Lorenzo,+Pie+de+Palo,+San+Juan/Catamarca+Sur+664,+San+Juan/@-31.601942,-68.5395436,39473m/data=!3m1!1e3!4m20!4m19!1m5!1m1!1s0x9681402690dd76eb:0x4b283f8fe10ce3f3!2m2!1d-68.5293761!2d-31.5426363!1m5!1m1!1s0x968108c4048687cb:0x8fa8783c5d1d79f5!2m2!1d-68.2209133!2d-31.663356!1m5!1m1!1s0x9681402690dd76eb:0x4b283f8fe10ce3f3!2m2!1d-68.5293761!2d-31.5426363!3e0?hl=es&amp;entry=ttu&amp;g_ep=EgoyMDI1MDgxMy4wIKXMDSoASAFQAw%3D%3D</v>
          </cell>
          <cell r="H282">
            <v>71.599999999999994</v>
          </cell>
        </row>
        <row r="283">
          <cell r="D283" t="str">
            <v>0ACTBJFJ40003JD</v>
          </cell>
          <cell r="E283" t="str">
            <v>Caucete</v>
          </cell>
          <cell r="F283" t="str">
            <v>https://maps.google.com/maps?q=-31.62785%2C-68.2682319&amp;z=17&amp;hl=es</v>
          </cell>
          <cell r="G283" t="str">
            <v>https://www.google.com/maps/dir/Catamarca+Sur+664,+San+Juan/Escuela+Hipolito+Vieytes,+Juan+Jos%C3%A9+Bustos,+Caucete,+San+Juan/Catamarca+Sur+664,+San+Juan/@-31.5881673,-68.4814418,19739m/data=!3m1!1e3!4m20!4m19!1m5!1m1!1s0x9681402690dd76eb:0x4b283f8fe10ce3f3!2m2!1d-68.5293761!2d-31.5426363!1m5!1m1!1s0x96810f9abfe1b8d7:0x13223c4e8b1e5b9c!2m2!1d-68.2683786!2d-31.6279133!1m5!1m1!1s0x9681402690dd76eb:0x4b283f8fe10ce3f3!2m2!1d-68.5293761!2d-31.5426363!3e0?hl=es&amp;entry=ttu&amp;g_ep=EgoyMDI1MDgxMy4wIKXMDSoASAFQAw%3D%3D</v>
          </cell>
          <cell r="H283">
            <v>60.3</v>
          </cell>
        </row>
        <row r="284">
          <cell r="D284" t="str">
            <v>076UBJFH20001QL</v>
          </cell>
          <cell r="E284" t="str">
            <v>Angaco</v>
          </cell>
          <cell r="F284" t="str">
            <v>https://maps.google.com/maps?q=-31.4599094%2C-68.4008675&amp;z=17&amp;hl=es</v>
          </cell>
          <cell r="G284" t="str">
            <v>https://www.google.com/maps/dir/Catamarca+Sur+664,+San+Juan/Escuela+de+Educaci%C3%B3n+Especial+Multiple+de+Angaco,+J5415+Villa+del+Salvador,+San+Juan/Catamarca+Sur+664,+San+Juan/@-31.5072113,-68.5505258,19756m/data=!3m2!1e3!4b1!4m20!4m19!1m5!1m1!1s0x9681402690dd76eb:0x4b283f8fe10ce3f3!2m2!1d-68.5293761!2d-31.5426363!1m5!1m1!1s0x96816f67f6a6bf3f:0xce145b8fee74b8e3!2m2!1d-68.4010117!2d-31.4597629!1m5!1m1!1s0x9681402690dd76eb:0x4b283f8fe10ce3f3!2m2!1d-68.5293761!2d-31.5426363!3e0?hl=es&amp;entry=ttu&amp;g_ep=EgoyMDI1MDgxMy4wIKXMDSoASAFQAw%3D%3D</v>
          </cell>
          <cell r="H284">
            <v>44.7</v>
          </cell>
        </row>
        <row r="285">
          <cell r="D285" t="str">
            <v>0ACTBJFK20001AT</v>
          </cell>
          <cell r="E285" t="str">
            <v>Rivadavia</v>
          </cell>
          <cell r="F285" t="str">
            <v>https://maps.google.com/maps?q=-31.550418%2C-68.5579236&amp;z=17&amp;hl=es</v>
          </cell>
          <cell r="G285" t="str">
            <v>https://www.google.com/maps/dir/Catamarca+Sur+664,+San+Juan/Escuela+Policia+de+la+Provincia+de+San+Juan,+Nicol%C3%A1s+Avellaneda+Oeste+2951,+J5400+Rivadavia,+San+Juan/Catamarca+Sur+664,+San+Juan/@-31.5475286,-68.5539438,2468m/data=!3m2!1e3!4b1!4m20!4m19!1m5!1m1!1s0x9681402690dd76eb:0x4b283f8fe10ce3f3!2m2!1d-68.5293761!2d-31.5426363!1m5!1m1!1s0x968141a15492bc77:0x8f3e8db0231ec74d!2m2!1d-68.5578984!2d-31.5502562!1m5!1m1!1s0x9681402690dd76eb:0x4b283f8fe10ce3f3!2m2!1d-68.5293761!2d-31.5426363!3e0?hl=es&amp;entry=ttu&amp;g_ep=EgoyMDI1MDgxMy4wIKXMDSoASAFQAw%3D%3D</v>
          </cell>
          <cell r="H285">
            <v>8.1999999999999993</v>
          </cell>
        </row>
        <row r="286">
          <cell r="D286" t="str">
            <v>0ACTBJFJ900021F</v>
          </cell>
          <cell r="E286" t="str">
            <v>San Martin</v>
          </cell>
          <cell r="F286" t="str">
            <v>https://maps.google.com/maps?q=-31.5551039%2C-68.3351403&amp;z=17&amp;hl=es</v>
          </cell>
          <cell r="G286" t="str">
            <v>https://www.google.com/maps/dir/Catamarca+Sur+664,+San+Juan/Colegio+Secundario+Augusto+Pulenta,+Villa+Don+Bosco,+San+Juan/Catamarca+Sur+664,+San+Juan/@-31.5464371,-68.5147314,19748m/data=!3m1!1e3!4m20!4m19!1m5!1m1!1s0x9681402690dd76eb:0x4b283f8fe10ce3f3!2m2!1d-68.5293761!2d-31.5426363!1m5!1m1!1s0x968112a096a73791:0x552b465065a9a628!2m2!1d-68.3350544!2d-31.5550258!1m5!1m1!1s0x9681402690dd76eb:0x4b283f8fe10ce3f3!2m2!1d-68.5293761!2d-31.5426363!3e0?hl=es&amp;entry=ttu&amp;g_ep=EgoyMDI1MDgxMy4wIKXMDSoASAFQAw%3D%3D</v>
          </cell>
          <cell r="H286">
            <v>48.8</v>
          </cell>
        </row>
        <row r="287">
          <cell r="D287" t="str">
            <v>0ACTBJFJB0000AW</v>
          </cell>
          <cell r="E287" t="str">
            <v>San Martín</v>
          </cell>
          <cell r="F287" t="str">
            <v>https://maps.google.com/maps?q=-31.5249358%2C-68.3474734&amp;z=17&amp;hl=es</v>
          </cell>
          <cell r="G287" t="str">
            <v>https://www.google.com/maps/dir/Catamarca+Sur+664,+San+Juan/-31.5249358,-68.3474734/@-31.542884,-68.52386,19749m/data=!3m2!1e3!4b1!4m9!4m8!1m5!1m1!1s0x9681402690dd76eb:0x4b283f8fe10ce3f3!2m2!1d-68.5293761!2d-31.5426363!1m0!3e0?hl=es&amp;entry=ttu&amp;g_ep=EgoyMDI1MDYxNy4wIKXMDSoASAFQAw%3D%3D</v>
          </cell>
          <cell r="H287">
            <v>50</v>
          </cell>
        </row>
        <row r="288">
          <cell r="D288" t="str">
            <v>0ACTBJFJ50001FR</v>
          </cell>
          <cell r="E288" t="str">
            <v>Caucete</v>
          </cell>
          <cell r="F288" t="str">
            <v>https://maps.google.com/maps?q=-31.667852%2C-68.2929628&amp;z=17&amp;hl=es</v>
          </cell>
          <cell r="G288" t="str">
            <v>https://www.google.com/maps/dir/Catamarca+Sur+664,+San+Juan/Escuela+Andina,+RP270,+San+Juan/Catamarca+Sur+664,+San+Juan/@-31.6045048,-68.4912887,19736m/data=!3m2!1e3!4b1!4m20!4m19!1m5!1m1!1s0x9681402690dd76eb:0x4b283f8fe10ce3f3!2m2!1d-68.5293761!2d-31.5426363!1m5!1m1!1s0x96810faed43f7c13:0xae39ac1301cd4f83!2m2!1d-68.2924734!2d-31.667811!1m5!1m1!1s0x9681402690dd76eb:0x4b283f8fe10ce3f3!2m2!1d-68.5293761!2d-31.5426363!3e0?hl=es&amp;entry=ttu&amp;g_ep=EgoyMDI1MDgxMy4wIKXMDSoASAFQAw%3D%3D</v>
          </cell>
          <cell r="H288">
            <v>62.4</v>
          </cell>
        </row>
        <row r="289">
          <cell r="D289" t="str">
            <v>0ACTBJFJ500047X</v>
          </cell>
          <cell r="E289" t="str">
            <v>Caucete</v>
          </cell>
          <cell r="F289" t="str">
            <v>https://maps.google.com/maps?q=-31.6537179%2C-68.2824947&amp;z=17&amp;hl=es</v>
          </cell>
          <cell r="G289" t="str">
            <v>https://www.google.com/maps/dir/Catamarca+Sur+664,+San+Juan/Escuela+Doctor+Isidro+Mariano+de+Zavalla,+Jos%C3%A9+Ignacio+de+la+Roza+240,+J5442+Caucete,+San+Juan/Catamarca+Sur+664,+San+Juan/@-31.5973746,-68.488593,19737m/data=!3m2!1e3!4b1!4m20!4m19!1m5!1m1!1s0x9681402690dd76eb:0x4b283f8fe10ce3f3!2m2!1d-68.5293761!2d-31.5426363!1m5!1m1!1s0x96810fc18b45db45:0xc39f4c55ceb930c9!2m2!1d-68.281872!2d-31.6535521!1m5!1m1!1s0x9681402690dd76eb:0x4b283f8fe10ce3f3!2m2!1d-68.5293761!2d-31.5426363!3e0?hl=es&amp;entry=ttu&amp;g_ep=EgoyMDI1MDgxMy4wIKXMDSoASAFQAw%3D%3D</v>
          </cell>
          <cell r="H289">
            <v>59.4</v>
          </cell>
        </row>
        <row r="290">
          <cell r="D290" t="str">
            <v>0ACTBJFJ500044J</v>
          </cell>
          <cell r="E290" t="str">
            <v>25 de Mayo.</v>
          </cell>
          <cell r="F290" t="str">
            <v>https://maps.google.com/maps?q=-31.8229102%2C-68.2916454&amp;z=17&amp;hl=es</v>
          </cell>
          <cell r="G290" t="str">
            <v>https://www.google.com/maps/dir/Catamarca+Sur+664,+San+Juan/Bartolome+Del+Bono,+San+Juan/Catamarca+Sur+664,+San+Juan/@-31.6818845,-68.5761041,39439m/data=!3m2!1e3!4b1!4m20!4m19!1m5!1m1!1s0x9681402690dd76eb:0x4b283f8fe10ce3f3!2m2!1d-68.5293761!2d-31.5426363!1m5!1m1!1s0x968103060f9848d7:0x45a04d443e384ee!2m2!1d-68.2915943!2d-31.8232407!1m5!1m1!1s0x9681402690dd76eb:0x4b283f8fe10ce3f3!2m2!1d-68.5293761!2d-31.5426363!3e0?hl=es&amp;entry=ttu&amp;g_ep=EgoyMDI1MDgxMy4wIKXMDSoASAFQAw%3D%3D</v>
          </cell>
          <cell r="H290">
            <v>96.1</v>
          </cell>
        </row>
        <row r="291">
          <cell r="D291" t="str">
            <v>0ACTBJFJ40003MP</v>
          </cell>
          <cell r="E291" t="str">
            <v>25 de Mayo.</v>
          </cell>
          <cell r="F291" t="str">
            <v>https://maps.google.com/maps?q=-32.0355783%2C-68.210345&amp;z=17&amp;hl=es</v>
          </cell>
          <cell r="G291" t="str">
            <v>https://www.google.com/maps/dir/Catamarca+Sur+664,+San+Juan/Escuela+Padre+Maggio,+San+Juan/Catamarca+Sur+664,+San+Juan/@-31.7939798,-68.7151029,78782m/data=!3m2!1e3!4b1!4m20!4m19!1m5!1m1!1s0x9681402690dd76eb:0x4b283f8fe10ce3f3!2m2!1d-68.5293761!2d-31.5426363!1m5!1m1!1s0x9680f761de9a7a45:0x4f5369f82ede5b79!2m2!1d-68.2104611!2d-32.0356676!1m5!1m1!1s0x9681402690dd76eb:0x4b283f8fe10ce3f3!2m2!1d-68.5293761!2d-31.5426363!3e0?hl=es&amp;entry=ttu&amp;g_ep=EgoyMDI1MDgxMy4wIKXMDSoASAFQAw%3D%3D</v>
          </cell>
          <cell r="H291">
            <v>157</v>
          </cell>
        </row>
        <row r="292">
          <cell r="D292" t="str">
            <v>0ACTBJFJ400032P</v>
          </cell>
          <cell r="E292" t="str">
            <v>25 de Mayo.</v>
          </cell>
          <cell r="F292" t="str">
            <v>https://maps.google.com/maps?q=-32.2164077%2C-67.7948898&amp;z=17&amp;hl=es</v>
          </cell>
          <cell r="G292" t="str">
            <v>https://www.google.com/maps/dir/Catamarca+Sur+664,+San+Juan/Escuela+Albergue+Dr.+Juan+Carlos+Navarro.,+Enc%C3%B3n,+San+Juan/Catamarca+Sur+664,+San+Juan/@-31.8764001,-68.8224908,157424m/data=!3m2!1e3!4b1!4m20!4m19!1m5!1m1!1s0x9681402690dd76eb:0x4b283f8fe10ce3f3!2m2!1d-68.5293761!2d-31.5426363!1m5!1m1!1s0x96806bda446959ff:0xc09d1026bac5d217!2m2!1d-67.794938!2d-32.2163394!1m5!1m1!1s0x9681402690dd76eb:0x4b283f8fe10ce3f3!2m2!1d-68.5293761!2d-31.5426363!3e0?hl=es&amp;entry=ttu&amp;g_ep=EgoyMDI1MDgxMy4wIKXMDSoASAFQAw%3D%3D</v>
          </cell>
          <cell r="H292">
            <v>231</v>
          </cell>
        </row>
        <row r="293">
          <cell r="D293" t="str">
            <v>0ACTBJFJ500036Y</v>
          </cell>
          <cell r="E293" t="str">
            <v>Rivadavia</v>
          </cell>
          <cell r="F293" t="str">
            <v>https://maps.google.com/maps?q=-31.5158982%2C-68.56528&amp;z=17&amp;hl=es</v>
          </cell>
          <cell r="G293" t="str">
            <v>https://www.google.com/maps/dir/Catamarca+Sur+664,+San+Juan/-31.5158982,-68.56528/@-31.5350817,-68.5657158,4938m/data=!3m2!1e3!4b1!4m9!4m8!1m5!1m1!1s0x9681402690dd76eb:0x4b283f8fe10ce3f3!2m2!1d-68.5293761!2d-31.5426363!1m0!3e0?hl=es&amp;entry=ttu&amp;g_ep=EgoyMDI1MDYxNy4wIKXMDSoASAFQAw%3D%3D</v>
          </cell>
          <cell r="H293">
            <v>6.1</v>
          </cell>
        </row>
        <row r="294">
          <cell r="D294" t="str">
            <v>0ACTBJFJ50001BB</v>
          </cell>
          <cell r="E294" t="str">
            <v>Rivadavia</v>
          </cell>
          <cell r="F294" t="str">
            <v>https://maps.google.com/maps?q=-31.5472618%2C-68.5552065&amp;z=17&amp;hl=es</v>
          </cell>
          <cell r="G294" t="str">
            <v>https://www.google.com/maps/dir/Catamarca+Sur+664,+San+Juan/-31.5472618,-68.5552065/@-31.543888,-68.5519566,2469m/data=!3m2!1e3!4b1!4m9!4m8!1m5!1m1!1s0x9681402690dd76eb:0x4b283f8fe10ce3f3!2m2!1d-68.5293761!2d-31.5426363!1m0!3e0?hl=es&amp;entry=ttu&amp;g_ep=EgoyMDI1MDYxNy4wIKXMDSoASAFQAw%3D%3D</v>
          </cell>
          <cell r="H294">
            <v>3.5</v>
          </cell>
        </row>
        <row r="295">
          <cell r="D295" t="str">
            <v>0ACTBJFJ50002LX</v>
          </cell>
          <cell r="E295" t="str">
            <v>RIVADAVIA</v>
          </cell>
          <cell r="F295" t="str">
            <v>https://maps.google.com/maps?q=-31.515143%2C-68.5646077&amp;z=17&amp;hl=es</v>
          </cell>
          <cell r="G295" t="str">
            <v>https://www.google.com/maps/dir/Catamarca+Sur+664,+San+Juan/E.P.E.T.+N%C2%B0+7,+Paula+Albarrac%C3%ADn+Oeste,+J5400+Rivadavia,+San+Juan/Catamarca+Sur+664,+San+Juan/@-31.5353067,-68.5678355,4938m/data=!3m2!1e3!4b1!4m20!4m19!1m5!1m1!1s0x9681402690dd76eb:0x4b283f8fe10ce3f3!2m2!1d-68.5293761!2d-31.5426363!1m5!1m1!1s0x968141a3b3ffcd91:0xa35db447e46dadcf!2m2!1d-68.5646228!2d-31.5152398!1m5!1m1!1s0x9681402690dd76eb:0x4b283f8fe10ce3f3!2m2!1d-68.5293761!2d-31.5426363!3e0?hl=es&amp;entry=ttu&amp;g_ep=EgoyMDI1MDgxMy4wIKXMDSoASAFQAw%3D%3D</v>
          </cell>
          <cell r="H295">
            <v>14.1</v>
          </cell>
        </row>
        <row r="296">
          <cell r="D296" t="str">
            <v>ZELLBJFK90005ZX</v>
          </cell>
          <cell r="E296" t="str">
            <v>Santa Lucía</v>
          </cell>
          <cell r="F296" t="str">
            <v>https://maps.google.com/maps?q=-31.5118323%2C-68.5032316&amp;z=17&amp;hl=es</v>
          </cell>
          <cell r="G296" t="str">
            <v>https://www.google.com/maps/dir/Catamarca+Sur+664,+San+Juan/Escuela+Antonia+Villascusa,+Tom%C3%A1s+Edison+Este+1729-1799,+J5411+San+Juan/Catamarca+Sur+664,+San+Juan/@-31.5333572,-68.5580263,9875m/data=!3m2!1e3!4b1!4m20!4m19!1m5!1m1!1s0x9681402690dd76eb:0x4b283f8fe10ce3f3!2m2!1d-68.5293761!2d-31.5426363!1m5!1m1!1s0x96816b7e9e35bcfd:0x9cb52cc743e74d46!2m2!1d-68.5031816!2d-31.5119522!1m5!1m1!1s0x9681402690dd76eb:0x4b283f8fe10ce3f3!2m2!1d-68.5293761!2d-31.5426363!3e0?hl=es&amp;entry=ttu&amp;g_ep=EgoyMDI1MDgxMy4wIKXMDSoASAFQAw%3D%3D</v>
          </cell>
          <cell r="H296">
            <v>14</v>
          </cell>
        </row>
        <row r="297">
          <cell r="D297" t="str">
            <v>0ACTBJFJ40003FX</v>
          </cell>
          <cell r="E297" t="str">
            <v>Angaco</v>
          </cell>
          <cell r="F297" t="str">
            <v>https://maps.google.com/maps?q=-31.3927393%2C-68.3959495&amp;z=17&amp;hl=es</v>
          </cell>
          <cell r="G297" t="str">
            <v>https://www.google.com/maps/dir/Catamarca+Sur+664,+San+Juan/Escuela+Dr.+Bernardo+Houssay,+Calle+Nacional,+San+Juan/Catamarca+Sur+664,+San+Juan/@-31.4734966,-68.5482585,19764m/data=!3m2!1e3!4b1!4m20!4m19!1m5!1m1!1s0x9681402690dd76eb:0x4b283f8fe10ce3f3!2m2!1d-68.5293761!2d-31.5426363!1m5!1m1!1s0x96816f6dafaa56d1:0xaece808399868ba8!2m2!1d-68.3959579!2d-31.3923354!1m5!1m1!1s0x9681402690dd76eb:0x4b283f8fe10ce3f3!2m2!1d-68.5293761!2d-31.5426363!3e0?hl=es&amp;entry=ttu&amp;g_ep=EgoyMDI1MDgxMy4wIKXMDSoASAFQAw%3D%3D</v>
          </cell>
          <cell r="H297">
            <v>63.8</v>
          </cell>
        </row>
        <row r="298">
          <cell r="D298" t="str">
            <v>0ACTBJFH90001ZY</v>
          </cell>
          <cell r="E298" t="str">
            <v>Angaco</v>
          </cell>
          <cell r="F298" t="str">
            <v>https://maps.google.com/maps?q=-31.3927393%2C-68.3959495&amp;z=17&amp;hl=es</v>
          </cell>
          <cell r="G298" t="str">
            <v>https://www.google.com/maps/dir/Catamarca+Sur+664,+San+Juan/Escuela+Dr.+Bernardo+Houssay,+Calle+Nacional,+San+Juan/Catamarca+Sur+664,+San+Juan/@-31.4734966,-68.5482585,19764m/data=!3m2!1e3!4b1!4m20!4m19!1m5!1m1!1s0x9681402690dd76eb:0x4b283f8fe10ce3f3!2m2!1d-68.5293761!2d-31.5426363!1m5!1m1!1s0x96816f6dafaa56d1:0xaece808399868ba8!2m2!1d-68.3959579!2d-31.3923354!1m5!1m1!1s0x9681402690dd76eb:0x4b283f8fe10ce3f3!2m2!1d-68.5293761!2d-31.5426363!3e0?hl=es&amp;entry=ttu&amp;g_ep=EgoyMDI1MDgxMy4wIKXMDSoASAFQAw%3D%3D</v>
          </cell>
          <cell r="H298">
            <v>63.8</v>
          </cell>
        </row>
        <row r="299">
          <cell r="D299" t="str">
            <v>076UBJFJA0000AP</v>
          </cell>
          <cell r="E299" t="str">
            <v>Angaco</v>
          </cell>
          <cell r="F299" t="str">
            <v>https://maps.google.com/maps?q=-31.3927393%2C-68.3959495&amp;z=17&amp;hl=es</v>
          </cell>
          <cell r="G299" t="str">
            <v>https://www.google.com/maps/dir/Catamarca+Sur+664,+San+Juan/Escuela+Dr.+Bernardo+Houssay,+Calle+Nacional,+San+Juan/Catamarca+Sur+664,+San+Juan/@-31.4734966,-68.5482585,19764m/data=!3m2!1e3!4b1!4m20!4m19!1m5!1m1!1s0x9681402690dd76eb:0x4b283f8fe10ce3f3!2m2!1d-68.5293761!2d-31.5426363!1m5!1m1!1s0x96816f6dafaa56d1:0xaece808399868ba8!2m2!1d-68.3959579!2d-31.3923354!1m5!1m1!1s0x9681402690dd76eb:0x4b283f8fe10ce3f3!2m2!1d-68.5293761!2d-31.5426363!3e0?hl=es&amp;entry=ttu&amp;g_ep=EgoyMDI1MDgxMy4wIKXMDSoASAFQAw%3D%3D</v>
          </cell>
          <cell r="H299">
            <v>63.8</v>
          </cell>
        </row>
        <row r="300">
          <cell r="D300" t="str">
            <v>ZELLBJFK900033F</v>
          </cell>
          <cell r="E300" t="str">
            <v>Pocito</v>
          </cell>
          <cell r="F300" t="str">
            <v>https://maps.google.com/maps?q=-31.6904867%2C-68.5726833&amp;z=17&amp;hl=es</v>
          </cell>
          <cell r="G300" t="str">
            <v>https://www.google.com/maps/dir/Catamarca+Sur+664,+San+Juan/8C5G%2BRX+ENI+N%C2%B0+69+RINCONCITO+DE+LUZ,+Pocito,+San+Juan/Catamarca+Sur+664,+San+Juan/@-31.6195899,-68.6264583,19733m/data=!3m1!1e3!4m20!4m19!1m5!1m1!1s0x9681402690dd76eb:0x4b283f8fe10ce3f3!2m2!1d-68.5293761!2d-31.5426363!1m5!1m1!1s0x96813ddde83b4ca3:0x7b3fb61e58b712be!2m2!1d-68.5726252!2d-31.6904308!1m5!1m1!1s0x9681402690dd76eb:0x4b283f8fe10ce3f3!2m2!1d-68.5293761!2d-31.5426363!3e0?hl=es&amp;entry=ttu&amp;g_ep=EgoyMDI1MDgxMy4wIKXMDSoASAFQAw%3D%3D</v>
          </cell>
          <cell r="H300">
            <v>43</v>
          </cell>
        </row>
        <row r="301">
          <cell r="D301" t="str">
            <v>0ACTBJFH90002KW</v>
          </cell>
          <cell r="E301" t="str">
            <v>25 de Mayo.</v>
          </cell>
          <cell r="F301" t="str">
            <v>https://maps.google.com/maps?q=-31.8184922%2C-68.3264966&amp;z=17&amp;hl=es</v>
          </cell>
          <cell r="G301" t="str">
            <v>https://www.google.com/maps/dir/Catamarca+Sur+664,+San+Juan/Escuela+AgroIndustrial+25+De+Mayo+San+Juan,+San+Mart%C3%ADn,+Las+Casuarinas,+San+Juan/Catamarca+Sur+664,+San+Juan/@-31.6795326,-68.584671,39440m/data=!3m2!1e3!4b1!4m20!4m19!1m5!1m1!1s0x9681402690dd76eb:0x4b283f8fe10ce3f3!2m2!1d-68.5293761!2d-31.5426363!1m5!1m1!1s0x968103361be1ef45:0x1a99589024fb69a3!2m2!1d-68.3269044!2d-31.8185368!1m5!1m1!1s0x9681402690dd76eb:0x4b283f8fe10ce3f3!2m2!1d-68.5293761!2d-31.5426363!3e0?hl=es&amp;entry=ttu&amp;g_ep=EgoyMDI1MDgxMy4wIKXMDSoASAFQAw%3D%3D</v>
          </cell>
          <cell r="H301">
            <v>89.3</v>
          </cell>
        </row>
        <row r="302">
          <cell r="D302" t="str">
            <v>ZELLBJEK30003RR</v>
          </cell>
          <cell r="E302" t="str">
            <v>Jachal</v>
          </cell>
          <cell r="F302" t="str">
            <v>https://maps.google.com/maps?q=-30.1979401%2C-68.8295232&amp;z=17&amp;hl=es</v>
          </cell>
          <cell r="G302" t="str">
            <v>https://www.google.com/maps/dir/Catamarca+Sur+664,+San+Juan/Escuela+Bienvenida+Sarmiento,+RN150,+Pachimoco,+San+Juan/Catamarca+Sur+664,+San+Juan/@-30.8671562,-69.9858541,318248m/data=!3m2!1e3!4b1!4m20!4m19!1m5!1m1!1s0x9681402690dd76eb:0x4b283f8fe10ce3f3!2m2!1d-68.5293761!2d-31.5426363!1m5!1m1!1s0x96835f335e90c805:0x6143ebdb6f532f6b!2m2!1d-68.8292067!2d-30.1981889!1m5!1m1!1s0x9681402690dd76eb:0x4b283f8fe10ce3f3!2m2!1d-68.5293761!2d-31.5426363!3e0?hl=es&amp;entry=ttu&amp;g_ep=EgoyMDI1MDgxMy4wIKXMDSoASAFQAw%3D%3D</v>
          </cell>
          <cell r="H302">
            <v>340</v>
          </cell>
        </row>
        <row r="303">
          <cell r="D303" t="str">
            <v>ZELLBJEK30002WM</v>
          </cell>
          <cell r="E303" t="str">
            <v>Jáchal</v>
          </cell>
          <cell r="F303" t="str">
            <v>https://maps.google.com/maps?q=-30.1266179%2C-68.6819218&amp;z=17&amp;hl=es</v>
          </cell>
          <cell r="G303" t="str">
            <v>https://www.google.com/maps/dir/Catamarca+Sur+664,+San+Juan/Escuela.+Ruben+Dario,+El+Medano,+San+Juan/Catamarca+Sur+664,+San+Juan/@-30.8255786,-69.9460024,318386m/data=!3m1!1e3!4m20!4m19!1m5!1m1!1s0x9681402690dd76eb:0x4b283f8fe10ce3f3!2m2!1d-68.5293761!2d-31.5426363!1m5!1m1!1s0x968343673dfc4e1f:0xa208fc61792dce8!2m2!1d-68.6815315!2d-30.1266837!1m5!1m1!1s0x9681402690dd76eb:0x4b283f8fe10ce3f3!2m2!1d-68.5293761!2d-31.5426363!3e0?hl=es&amp;entry=ttu&amp;g_ep=EgoyMDI1MDgxMy4wIKXMDSoASAFQAw%3D%3D</v>
          </cell>
          <cell r="H303">
            <v>351</v>
          </cell>
        </row>
        <row r="304">
          <cell r="D304" t="str">
            <v>ZELLBJFJA0003NF</v>
          </cell>
          <cell r="E304" t="str">
            <v>Jachal</v>
          </cell>
          <cell r="F304" t="str">
            <v>https://www.google.com/maps/dir/Catamarca+Sur+664,+San+Juan/Escuela+Marcos+Sastre,+San+Martin+s%2Fn+La+Frontera,+San+Juan/@-30.8127666,-69.9478381,318429m/data=!3m2!1e3!4b1!4m14!4m13!1m5!1m1!1s0x9681402690dd76eb:0x4b283f8fe10ce3f3!2m2!1d-68.5293761!2d-31.5426363!1m5!1m1!1s0x96835b4cf9d6720f:0x681960f1d5d4ffad!2m2!1d-68.7182779!2d-30.1009949!3e0?hl=es&amp;entry=ttu&amp;g_ep=EgoyMDI1MDYyOS4wIKXMDSoASAFQAw%3D%3D</v>
          </cell>
          <cell r="G304" t="str">
            <v>https://www.google.com/maps/dir/Catamarca+Sur+664,+San+Juan/Escuela+Marcos+Sastre,+San+Martin+s%2Fn+La+Frontera,+San+Juan/Catamarca+Sur+664,+San+Juan/@-30.8189401,-69.9413962,318408m/data=!3m2!1e3!4b1!4m20!4m19!1m5!1m1!1s0x9681402690dd76eb:0x4b283f8fe10ce3f3!2m2!1d-68.5293761!2d-31.5426363!1m5!1m1!1s0x96835b4cf9d6720f:0x681960f1d5d4ffad!2m2!1d-68.7182779!2d-30.1009949!1m5!1m1!1s0x9681402690dd76eb:0x4b283f8fe10ce3f3!2m2!1d-68.5293761!2d-31.5426363!3e0?hl=es&amp;entry=ttu&amp;g_ep=EgoyMDI1MDgxMy4wIKXMDSoASAFQAw%3D%3D</v>
          </cell>
          <cell r="H304">
            <v>354</v>
          </cell>
        </row>
        <row r="305">
          <cell r="D305" t="str">
            <v>ZELLBJFJB0004QA</v>
          </cell>
          <cell r="E305" t="str">
            <v>Jachal</v>
          </cell>
          <cell r="F305" t="str">
            <v>https://maps.google.com/maps?q=-30.0150251%2C-68.7513111&amp;z=17&amp;hl=es</v>
          </cell>
          <cell r="G305" t="str">
            <v>https://www.google.com/maps/dir/Catamarca+Sur+664,+San+Juan/Escuela+Juan+Mar%C3%ADa+Guti%C3%A9rrez,+San+Juan/Catamarca+Sur+664,+San+Juan/@-30.7755626,-69.946875,318552m/data=!3m2!1e3!4b1!4m20!4m19!1m5!1m1!1s0x9681402690dd76eb:0x4b283f8fe10ce3f3!2m2!1d-68.5293761!2d-31.5426363!1m5!1m1!1s0x96835066272e51cb:0xb064cac244f4c2a4!2m2!1d-68.7514631!2d-30.0144224!1m5!1m1!1s0x9681402690dd76eb:0x4b283f8fe10ce3f3!2m2!1d-68.5293761!2d-31.5426363!3e0?hl=es&amp;entry=ttu&amp;g_ep=EgoyMDI1MDgxMy4wIKXMDSoASAFQAw%3D%3D</v>
          </cell>
          <cell r="H305">
            <v>378</v>
          </cell>
        </row>
        <row r="306">
          <cell r="D306" t="str">
            <v>ZELLBJFK400045E</v>
          </cell>
          <cell r="E306" t="str">
            <v>Jachal</v>
          </cell>
          <cell r="F306" t="str">
            <v>https://maps.app.goo.gl/7HS8WLgAp5ZdRyRM8</v>
          </cell>
          <cell r="G306" t="str">
            <v>https://www.google.com/maps/dir/Catamarca+Sur+664,+San+Juan/Escuela+Provincia+de+Chubut,+Villa+San+Isidro,+San+Juan/Catamarca+Sur+664,+San+Juan/@-30.8386676,-69.9413958,318343m/data=!3m2!1e3!4b1!4m20!4m19!1m5!1m1!1s0x9681402690dd76eb:0x4b283f8fe10ce3f3!2m2!1d-68.5293761!2d-31.5426363!1m5!1m1!1s0x968343c45a2af58b:0x7fc2ad3ddc78e93c!2m2!1d-68.7000846!2d-30.1404309!1m5!1m1!1s0x9681402690dd76eb:0x4b283f8fe10ce3f3!2m2!1d-68.5293761!2d-31.5426363!3e0?entry=ttu&amp;g_ep=EgoyMDI1MDgxMy4wIKXMDSoASAFQAw%3D%3D</v>
          </cell>
          <cell r="H306">
            <v>345</v>
          </cell>
        </row>
        <row r="307">
          <cell r="D307" t="str">
            <v>ZELLBJFK40004WK</v>
          </cell>
          <cell r="E307" t="str">
            <v>Jachal</v>
          </cell>
          <cell r="F307" t="str">
            <v>https://maps.google.com/maps?q=-30.1586232%2C-68.4829418&amp;z=17&amp;hl=es</v>
          </cell>
          <cell r="G307" t="str">
            <v>https://www.google.com/maps/dir/Catamarca+Sur+664,+San+Juan/Escuela+Federico+Cantoni,+Unnamed+Road,+Huaco,+San+Juan/Catamarca+Sur+664,+San+Juan/@-30.8371564,-69.9157607,318348m/data=!3m1!1e3!4m20!4m19!1m5!1m1!1s0x9681402690dd76eb:0x4b283f8fe10ce3f3!2m2!1d-68.5293761!2d-31.5426363!1m5!1m1!1s0x96833fd3954a63a7:0xb192e707ae3008d9!2m2!1d-68.4826458!2d-30.1585408!1m5!1m1!1s0x9681402690dd76eb:0x4b283f8fe10ce3f3!2m2!1d-68.5293761!2d-31.5426363!3e0?hl=es&amp;entry=ttu&amp;g_ep=EgoyMDI1MDgxMy4wIKXMDSoASAFQAw%3D%3D</v>
          </cell>
          <cell r="H307">
            <v>685</v>
          </cell>
        </row>
        <row r="308">
          <cell r="D308" t="str">
            <v>ZELLBJFJA00004N</v>
          </cell>
          <cell r="E308" t="str">
            <v>Jachal</v>
          </cell>
          <cell r="F308" t="str">
            <v>https://maps.google.com/maps?q=-30.2432283%2C-68.7545533&amp;z=17&amp;hl=es</v>
          </cell>
          <cell r="G308" t="str">
            <v>https://www.google.com/maps/dir/Catamarca+Sur+664,+San+Juan/E.N.I+N%C2%B037,+J5460+San+Jose+de+Jachal,+San+Juan/Catamarca+Sur+664,+San+Juan/@-30.8961498,-69.2883963,159076m/data=!3m2!1e3!4b1!4m20!4m19!1m5!1m1!1s0x9681402690dd76eb:0x4b283f8fe10ce3f3!2m2!1d-68.5293761!2d-31.5426363!1m5!1m1!1s0x968367270a5077dd:0x7ccf90f686508d90!2m2!1d-68.7546302!2d-30.2433796!1m5!1m1!1s0x9681402690dd76eb:0x4b283f8fe10ce3f3!2m2!1d-68.5293761!2d-31.5426363!3e0?hl=es&amp;entry=ttu&amp;g_ep=EgoyMDI1MDgxMy4wIKXMDSoASAFQAw%3D%3D</v>
          </cell>
          <cell r="H308">
            <v>323</v>
          </cell>
        </row>
        <row r="309">
          <cell r="D309" t="str">
            <v>ZELLBJEK30003CB</v>
          </cell>
          <cell r="E309" t="str">
            <v>Jachal</v>
          </cell>
          <cell r="F309" t="str">
            <v>https://maps.google.com/maps?q=-30.2617017%2C-68.6698668&amp;z=17&amp;hl=es</v>
          </cell>
          <cell r="G309" t="str">
            <v>https://www.google.com/maps/dir/Catamarca+Sur+664,+San+Juan/ESCUELA+ANTENOR+FLORES+VIDAL,+San+Juan/Catamarca+Sur+664,+San+Juan/@-30.9010265,-69.2720103,159068m/data=!3m1!1e3!4m20!4m19!1m5!1m1!1s0x9681402690dd76eb:0x4b283f8fe10ce3f3!2m2!1d-68.5293761!2d-31.5426363!1m5!1m1!1s0x9683692336ff4175:0x14657e5136c2ac79!2m2!1d-68.6703282!2d-30.2617071!1m5!1m1!1s0x9681402690dd76eb:0x4b283f8fe10ce3f3!2m2!1d-68.5293761!2d-31.5426363!3e0?hl=es&amp;entry=ttu&amp;g_ep=EgoyMDI1MDgxMy4wIKXMDSoASAFQAw%3D%3D</v>
          </cell>
          <cell r="H309">
            <v>319</v>
          </cell>
        </row>
        <row r="310">
          <cell r="D310" t="str">
            <v>ZELLBJFJA0000PN</v>
          </cell>
          <cell r="E310" t="str">
            <v>Jachal</v>
          </cell>
          <cell r="F310" t="str">
            <v>https://maps.google.com/maps?q=-30.2140624%2C-68.6883504&amp;z=17&amp;hl=es</v>
          </cell>
          <cell r="G310" t="str">
            <v>https://www.google.com/maps/dir/Catamarca+Sur+664,+San+Juan/Escuela+Albergue+Joaquin+V.+Gonzalez,+Pampa+del+Cha%C3%B1ar,+San+Juan/Catamarca+Sur+664,+San+Juan/@-30.8756298,-69.4826628,206612m/data=!3m1!1e3!4m20!4m19!1m5!1m1!1s0x9681402690dd76eb:0x4b283f8fe10ce3f3!2m2!1d-68.5293761!2d-31.5426363!1m5!1m1!1s0x968369a527d3f6a9:0xc90e5a052f3d1a04!2m2!1d-68.6878882!2d-30.2143221!1m5!1m1!1s0x9681402690dd76eb:0x4b283f8fe10ce3f3!2m2!1d-68.5293761!2d-31.5426363!3e0?hl=es&amp;entry=ttu&amp;g_ep=EgoyMDI1MDgxMy4wIKXMDSoASAFQAw%3D%3D</v>
          </cell>
          <cell r="H310">
            <v>335</v>
          </cell>
        </row>
        <row r="311">
          <cell r="D311" t="str">
            <v>ZELLBJFJB00080T</v>
          </cell>
          <cell r="E311" t="str">
            <v>Jachal</v>
          </cell>
          <cell r="F311" t="str">
            <v>https://maps.google.com/maps?q=-30.1887147%2C-68.725575&amp;z=17&amp;hl=es</v>
          </cell>
          <cell r="G311" t="str">
            <v>https://www.google.com/maps/dir/Catamarca+Sur+664,+San+Juan/Escuela+Pedro+Bonifacio+Palacios,+RP456,+Tamber%C3%ADas,+San+Juan/Catamarca+Sur+664,+San+Juan/@-30.8583042,-69.9458588,318278m/data=!3m1!1e3!4m20!4m19!1m5!1m1!1s0x9681402690dd76eb:0x4b283f8fe10ce3f3!2m2!1d-68.5293761!2d-31.5426363!1m5!1m1!1s0x96835debdd40f1c9:0x5d4608612b127702!2m2!1d-68.7256993!2d-30.1886655!1m5!1m1!1s0x9681402690dd76eb:0x4b283f8fe10ce3f3!2m2!1d-68.5293761!2d-31.5426363!3e0?hl=es&amp;entry=ttu&amp;g_ep=EgoyMDI1MDgxMy4wIKXMDSoASAFQAw%3D%3D</v>
          </cell>
          <cell r="H311">
            <v>331</v>
          </cell>
        </row>
        <row r="312">
          <cell r="D312" t="str">
            <v>0ACTBJFJ40003CN</v>
          </cell>
          <cell r="E312" t="str">
            <v>Caucete</v>
          </cell>
          <cell r="F312" t="str">
            <v>https://maps.app.goo.gl/Nm8xhwE7hZ4eFJ2D7</v>
          </cell>
          <cell r="G312" t="str">
            <v>https://www.google.com/maps/dir/Catamarca+Sur+664,+San+Juan/Escuela+Gonazalo+Douglas+Agrotecnica,+San+Juan/Catamarca+Sur+664,+San+Juan/@-31.6225951,-68.4912887,19732m/data=!3m2!1e3!4b1!4m20!4m19!1m5!1m1!1s0x9681402690dd76eb:0x4b283f8fe10ce3f3!2m2!1d-68.5293761!2d-31.5426363!1m5!1m1!1s0x9681057d8bf9ce19:0x6bb4bfaf9aa7c821!2m2!1d-68.2939558!2d-31.704014!1m5!1m1!1s0x9681402690dd76eb:0x4b283f8fe10ce3f3!2m2!1d-68.5293761!2d-31.5426363!3e0?entry=ttu&amp;g_ep=EgoyMDI1MDgxMy4wIKXMDSoASAFQAw%3D%3D</v>
          </cell>
          <cell r="H312">
            <v>71.5</v>
          </cell>
        </row>
        <row r="313">
          <cell r="D313" t="str">
            <v>ZELLBJFJB00054M</v>
          </cell>
          <cell r="E313" t="str">
            <v>Jachal</v>
          </cell>
          <cell r="F313" t="str">
            <v>https://maps.app.goo.gl/7HS8WLgAp5ZdRyRM8</v>
          </cell>
          <cell r="G313" t="str">
            <v>https://www.google.com/maps/dir/Catamarca+Sur+664,+San+Juan/Escuela+Provincia+de+Chubut,+Villa+San+Isidro,+San+Juan/Catamarca+Sur+664,+San+Juan/@-30.834189,-69.9458601,318358m/data=!3m1!1e3!4m20!4m19!1m5!1m1!1s0x9681402690dd76eb:0x4b283f8fe10ce3f3!2m2!1d-68.5293761!2d-31.5426363!1m5!1m1!1s0x968343c45a2af58b:0x7fc2ad3ddc78e93c!2m2!1d-68.7000846!2d-30.1404309!1m5!1m1!1s0x9681402690dd76eb:0x4b283f8fe10ce3f3!2m2!1d-68.5293761!2d-31.5426363!3e0?entry=ttu&amp;g_ep=EgoyMDI1MDgxMy4wIKXMDSoASAFQAw%3D%3D</v>
          </cell>
          <cell r="H313">
            <v>345</v>
          </cell>
        </row>
        <row r="314">
          <cell r="D314" t="str">
            <v>0ACTBJFJ40003TY</v>
          </cell>
          <cell r="E314" t="str">
            <v>Caucete</v>
          </cell>
          <cell r="F314" t="str">
            <v>https://maps.app.goo.gl/vFJirEMGUmjmk8dX6</v>
          </cell>
          <cell r="G314" t="str">
            <v>https://www.google.com/maps/dir/Catamarca+Sur+664,+San+Juan/Esc.+T%C3%A9cnica+de+Capacitaci%C3%B3n+Laboral+Luis+Jofr%C3%A9,+RN20+1051,+J5442+Villa+Col%C3%B3n,+San+Juan/Catamarca+Sur+664,+San+Juan/@-31.5998426,-68.485625,19737m/data=!3m2!1e3!4b1!4m20!4m19!1m5!1m1!1s0x9681402690dd76eb:0x4b283f8fe10ce3f3!2m2!1d-68.5293761!2d-31.5426363!1m5!1m1!1s0x96810fcbd8b61ed9:0x44f0409311c7f467!2m2!1d-68.2752992!2d-31.6582286!1m5!1m1!1s0x9681402690dd76eb:0x4b283f8fe10ce3f3!2m2!1d-68.5293761!2d-31.5426363!3e0?entry=ttu&amp;g_ep=EgoyMDI1MDgxMy4wIKXMDSoASAFQAw%3D%3D</v>
          </cell>
          <cell r="H314">
            <v>60.9</v>
          </cell>
        </row>
        <row r="315">
          <cell r="D315" t="str">
            <v>0ACTBJFJ90003HP</v>
          </cell>
          <cell r="E315" t="str">
            <v>Capital</v>
          </cell>
          <cell r="F315" t="str">
            <v>https://maps.app.goo.gl/r7ipSBtCFQbRAYyS6</v>
          </cell>
          <cell r="G315" t="str">
            <v>https://www.google.com/maps/dir/Catamarca+Sur+664,+San+Juan/E.P.E.T.+N%C2%B0+2,+J5402DFH,+B.+Rivadavia+Oeste+302-400,+J5402DFH+San+Juan/@-31.5398098,-68.5351304,1234m/data=!3m2!1e3!4b1!4m14!4m13!1m5!1m1!1s0x9681402690dd76eb:0x4b283f8fe10ce3f3!2m2!1d-68.5293761!2d-31.5426363!1m5!1m1!1s0x96814028ccc33915:0xd9af39a8ef5964c!2m2!1d-68.5305786!2d-31.5371191!3e0?entry=ttu&amp;g_ep=EgoyMDI1MDYzMC4wIKXMDSoASAFQAw%3D%3D</v>
          </cell>
          <cell r="H315">
            <v>0.7</v>
          </cell>
        </row>
        <row r="316">
          <cell r="D316" t="str">
            <v>ZELLBJFJK300016K</v>
          </cell>
          <cell r="E316" t="str">
            <v>Jachal</v>
          </cell>
          <cell r="F316" t="str">
            <v>https://maps.app.goo.gl/EkGezJRQdtTWgbo28</v>
          </cell>
          <cell r="G316" t="str">
            <v>https://www.google.com/maps/dir/Catamarca+Sur+664,+San+Juan/-30.245025,-68.731768/Catamarca+Sur+664,+San+Juan/@-30.8971454,-69.2772347,159074m/data=!3m2!1e3!4b1!4m15!4m14!1m5!1m1!1s0x9681402690dd76eb:0x4b283f8fe10ce3f3!2m2!1d-68.5293623!2d-31.542635!1m0!1m5!1m1!1s0x9681402690dd76eb:0x4b283f8fe10ce3f3!2m2!1d-68.5293623!2d-31.542635!3e0!17m2!4m1!1e3!18m1!1e1?entry=ttu&amp;g_ep=EgoyMDI1MTAxNC4wIKXMDSoASAFQAw%3D%3D</v>
          </cell>
          <cell r="H316">
            <v>218</v>
          </cell>
        </row>
        <row r="317">
          <cell r="D317" t="str">
            <v>ZELLBJFJB0007DV</v>
          </cell>
          <cell r="E317" t="str">
            <v>Jachal</v>
          </cell>
          <cell r="F317" t="str">
            <v>https://maps.google.com/maps?q=-30.2404067%2C-68.7494133&amp;z=17&amp;hl=es</v>
          </cell>
          <cell r="G317" t="str">
            <v>https://www.google.com/maps/dir/Catamarca+Sur+664,+San+Juan/E.N.I.+N%C2%B0+58,+J5460+San+Jose+de+Jachal,+San+Juan/Catamarca+Sur+664,+San+Juan/@-30.8869225,-69.2906025,159091m/data=!3m1!1e3!4m20!4m19!1m5!1m1!1s0x9681402690dd76eb:0x4b283f8fe10ce3f3!2m2!1d-68.5293761!2d-31.5426363!1m5!1m1!1s0x968367002bd98781:0x28671a7fc01b2eae!2m2!1d-68.7495698!2d-30.2401394!1m5!1m1!1s0x9681402690dd76eb:0x4b283f8fe10ce3f3!2m2!1d-68.5293761!2d-31.5426363!3e0?hl=es&amp;entry=ttu&amp;g_ep=EgoyMDI1MDgxMy4wIKXMDSoASAFQAw%3D%3D</v>
          </cell>
          <cell r="H317">
            <v>323</v>
          </cell>
        </row>
        <row r="318">
          <cell r="D318" t="str">
            <v>79G3Z5Z</v>
          </cell>
          <cell r="E318" t="str">
            <v>Rawson</v>
          </cell>
          <cell r="F318" t="str">
            <v>https://maps.app.goo.gl/3tJ2w1zWpqKA4YqH9</v>
          </cell>
          <cell r="G318" t="str">
            <v>https://www.google.com/maps/dir/Catamarca+Sur+664,+San+Juan/Escuela+Patricias+Mendocinas,+Castillo+O+Nueva,+San+Juan/Catamarca+Sur+664,+San+Juan/@-31.5595684,-68.5267234,4936m/data=!3m2!1e3!4b1!4m20!4m19!1m5!1m1!1s0x9681402690dd76eb:0x4b283f8fe10ce3f3!2m2!1d-68.5293761!2d-31.5426363!1m5!1m1!1s0x96811526f2285d8f:0x148fdc7ecc5c6076!2m2!1d-68.4811269!2d-31.5770275!1m5!1m1!1s0x9681402690dd76eb:0x4b283f8fe10ce3f3!2m2!1d-68.5293761!2d-31.5426363!3e0?hl=es&amp;entry=ttu&amp;g_ep=EgoyMDI1MDgxMy4wIKXMDSoASAFQAw%3D%3D</v>
          </cell>
          <cell r="H318">
            <v>14.4</v>
          </cell>
        </row>
        <row r="319">
          <cell r="D319" t="str">
            <v>79453CT</v>
          </cell>
          <cell r="E319" t="str">
            <v>Pocito</v>
          </cell>
          <cell r="F319" t="str">
            <v>https://maps.app.goo.gl/4gVJCv2ENwrAnrEV8</v>
          </cell>
          <cell r="G319" t="str">
            <v>https://www.google.com/maps/dir/Catamarca+Sur+664,+San+Juan/Escuela+de+Comercio+Sixto+Salinas+de+Rivera,+RP9,+Carpinter%C3%ADa,+San+Juan/Catamarca+Sur+664,+San+Juan/@-31.6808866,-68.7020632,39439m/data=!3m2!1e3!4b1!4m20!4m19!1m5!1m1!1s0x9681402690dd76eb:0x4b283f8fe10ce3f3!2m2!1d-68.5293761!2d-31.5426363!1m5!1m1!1s0x96812216461afa9d:0x721c9aeb5dcb5732!2m2!1d-68.5467526!2d-31.8207996!1m5!1m1!1s0x9681402690dd76eb:0x4b283f8fe10ce3f3!2m2!1d-68.5293761!2d-31.5426363!3e0?entry=ttu&amp;g_ep=EgoyMDI1MDgxMy4wIKXMDSoASAFQAw%3D%3D</v>
          </cell>
          <cell r="H319">
            <v>67.400000000000006</v>
          </cell>
        </row>
        <row r="320">
          <cell r="D320" t="str">
            <v>0ACTBJFH90001XM</v>
          </cell>
          <cell r="E320" t="str">
            <v>Santa Lucia</v>
          </cell>
          <cell r="F320" t="str">
            <v>https://maps.google.com/maps?q=-31.5101887%2C-68.5035399&amp;z=17&amp;hl=es</v>
          </cell>
          <cell r="G320" t="str">
            <v>https://www.google.com/maps/dir/Catamarca+Sur+664,+San+Juan/ENI+N%C2%B0+59,+Sgto.+M%C3%A9ndez,+J5400+San+Juan/@-31.5329639,-68.5572961,9876m/data=!3m2!1e3!4b1!4m14!4m13!1m5!1m1!1s0x9681402690dd76eb:0x4b283f8fe10ce3f3!2m2!1d-68.5293761!2d-31.5426363!1m5!1m1!1s0x96816b978fcf69b7:0xd945a15f83d67e67!2m2!1d-68.5034188!2d-31.5105508!3e0?hl=es&amp;entry=ttu&amp;g_ep=EgoyMDI1MDYyOS4wIKXMDSoASAFQAw%3D%3D</v>
          </cell>
          <cell r="H320">
            <v>12</v>
          </cell>
        </row>
        <row r="321">
          <cell r="D321" t="str">
            <v>0ACTBJFK80000WT</v>
          </cell>
          <cell r="E321" t="str">
            <v>Capital</v>
          </cell>
          <cell r="F321" t="str">
            <v>https://maps.google.com/maps?q=-31.5264245%2C-68.5253156&amp;z=17&amp;hl=es</v>
          </cell>
          <cell r="G321" t="str">
            <v>https://www.google.com/maps/dir/Catamarca+Sur+664,+San+Juan/Escuela+Fray+Justo+Santa+Maria+De+oro,+C.+Juan+B+Alberdi+Oeste+175,+J5400+San+Juan/@-31.5341709,-68.5376641,2469m/data=!3m2!1e3!4b1!4m14!4m13!1m5!1m1!1s0x9681402690dd76eb:0x4b283f8fe10ce3f3!2m2!1d-68.5293761!2d-31.5426363!1m5!1m1!1s0x96816a7ff45e153f:0xf9312e9253b771a7!2m2!1d-68.5244161!2d-31.5258424!3e0?hl=es&amp;entry=ttu&amp;g_ep=EgoyMDI1MDYyOS4wIKXMDSoASAFQAw%3D%3D</v>
          </cell>
          <cell r="H321">
            <v>5</v>
          </cell>
        </row>
        <row r="322">
          <cell r="D322" t="str">
            <v>0ACTBJFJ90000BL</v>
          </cell>
          <cell r="E322" t="str">
            <v>Capital</v>
          </cell>
          <cell r="F322" t="str">
            <v>https://maps.google.com/maps?q=-31.5525901%2C-68.5215341&amp;z=17&amp;hl=es</v>
          </cell>
          <cell r="G322" t="str">
            <v>https://www.google.com/maps/dir/Catamarca+Sur+664,+San+Juan/Escuela+%C3%81ngel+D.+Rojas,+J5402BXC,+Agust%C3%ADn+G%C3%B3mez+Este+101-199,+J5402+BXC,+San+Juan/@-31.5469129,-68.5357624,2469m/data=!3m2!1e3!4b1!4m14!4m13!1m5!1m1!1s0x9681402690dd76eb:0x4b283f8fe10ce3f3!2m2!1d-68.5293761!2d-31.5426363!1m5!1m1!1s0x96816aa1217f9da1:0x6eb5cbbba68e2c97!2m2!1d-68.5216852!2d-31.5524697!3e0?hl=es&amp;entry=ttu&amp;g_ep=EgoyMDI1MDYyOS4wIKXMDSoASAFQAw%3D%3D</v>
          </cell>
          <cell r="H322">
            <v>5</v>
          </cell>
        </row>
        <row r="323">
          <cell r="D323" t="str">
            <v>0ACTBJFH70000AY</v>
          </cell>
          <cell r="E323" t="str">
            <v>Capital</v>
          </cell>
          <cell r="F323" t="str">
            <v>https://maps.app.goo.gl/89Yq3VSmGDYvYerZ9</v>
          </cell>
          <cell r="G323" t="str">
            <v>https://www.google.com/maps/dir/Catamarca+Sur+664,+San+Juan/Escuela+De+Nivel+Inicial+N%C2%B02+Pinkanta,+C.+Mart%C3%ADn+G%C3%BCemes+Nte.+146,+J5400EUD+J5400EUD,+San+Juan/@-31.5368893,-68.5337671,2469m/data=!3m2!1e3!4b1!4m14!4m13!1m5!1m1!1s0x9681402690dd76eb:0x4b283f8fe10ce3f3!2m2!1d-68.5293761!2d-31.5426363!1m5!1m1!1s0x96816b03edc2bda7:0x8df272f4afa606f1!2m2!1d-68.5164919!2d-31.5317614!3e0?entry=ttu&amp;g_ep=EgoyMDI1MDYyOS4wIKXMDSoASAFQAw%3D%3D</v>
          </cell>
          <cell r="H323">
            <v>5</v>
          </cell>
        </row>
        <row r="324">
          <cell r="D324" t="str">
            <v>0ACTBJFH90003QA</v>
          </cell>
          <cell r="E324" t="str">
            <v>Capital</v>
          </cell>
          <cell r="F324" t="str">
            <v>https://maps.google.com/maps?q=-31.5279366%2C-68.5340528&amp;z=17&amp;hl=es</v>
          </cell>
          <cell r="G324" t="str">
            <v>https://www.google.com/maps/dir/Catamarca+Sur+664,+San+Juan/Escuela+Comercio+Manuel+Belgrano,+J5400DUT,+Avenida+Leandro+N.+Alem+Norte+634,+J5400DUT+San+Juan/@-31.5344588,-68.5430286,2469m/data=!3m2!1e3!4b1!4m14!4m13!1m5!1m1!1s0x9681402690dd76eb:0x4b283f8fe10ce3f3!2m2!1d-68.5293761!2d-31.5426363!1m5!1m1!1s0x968141d2d7a5e59b:0x1d816e2d932da8ef!2m2!1d-68.5339222!2d-31.5280993!3e0?hl=es&amp;entry=ttu&amp;g_ep=EgoyMDI1MDYyOS4wIKXMDSoASAFQAw%3D%3D</v>
          </cell>
          <cell r="H324">
            <v>5</v>
          </cell>
        </row>
        <row r="325">
          <cell r="D325" t="str">
            <v>0ACTBJFH900023N</v>
          </cell>
          <cell r="E325" t="str">
            <v>Chimbas</v>
          </cell>
          <cell r="F325" t="str">
            <v>https://maps.google.com/maps?q=-31.506621%2C-68.5632826&amp;z=17&amp;hl=es</v>
          </cell>
          <cell r="G325" t="str">
            <v>https://www.google.com/maps/dir/Catamarca+Sur+664,+San+Juan/Escuela+dr.+Honorio+Pueyrred%C3%B3n,+J5413+Chimbas,+San+Juan/Catamarca+Sur+664,+San+Juan/@-31.5308941,-68.5879681,9876m/data=!3m2!1e3!4b1!4m20!4m19!1m5!1m1!1s0x9681402690dd76eb:0x4b283f8fe10ce3f3!2m2!1d-68.5293761!2d-31.5426363!1m5!1m1!1s0x968141997d8e77a3:0x1c4c543e542333ac!2m2!1d-68.5631397!2d-31.5066171!1m5!1m1!1s0x9681402690dd76eb:0x4b283f8fe10ce3f3!2m2!1d-68.5293761!2d-31.5426363!3e0?hl=es&amp;entry=ttu&amp;g_ep=EgoyMDI1MDgxMy4wIKXMDSoASAFQAw%3D%3D</v>
          </cell>
          <cell r="H325">
            <v>16.100000000000001</v>
          </cell>
        </row>
        <row r="326">
          <cell r="D326" t="str">
            <v>0ACTBJFK20008XW</v>
          </cell>
          <cell r="E326" t="str">
            <v>Albardón</v>
          </cell>
          <cell r="F326" t="str">
            <v>https://maps.google.com/maps?q=-31.4443848%2C-68.4744098&amp;z=17&amp;hl=es</v>
          </cell>
          <cell r="G326" t="str">
            <v>https://www.google.com/maps/dir/Catamarca+Sur+664,+San+Juan/Escuela+Jose+Maria+Paz,+Calle+Gral.+Acha,+San+Juan/Catamarca+Sur+664,+San+Juan/@-31.4982485,-68.5873611,19758m/data=!3m2!1e3!4b1!4m20!4m19!1m5!1m1!1s0x9681402690dd76eb:0x4b283f8fe10ce3f3!2m2!1d-68.5293761!2d-31.5426363!1m5!1m1!1s0x9681690aa551bcd9:0x607e4b3f0b77ad7d!2m2!1d-68.4745843!2d-31.4442539!1m5!1m1!1s0x9681402690dd76eb:0x4b283f8fe10ce3f3!2m2!1d-68.5293761!2d-31.5426363!3e0?hl=es&amp;entry=ttu&amp;g_ep=EgoyMDI1MDgxMy4wIKXMDSoASAFQAw%3D%3D</v>
          </cell>
          <cell r="H326">
            <v>38.700000000000003</v>
          </cell>
        </row>
        <row r="327">
          <cell r="D327" t="str">
            <v>0ACTBJFK80000TJ</v>
          </cell>
          <cell r="E327" t="str">
            <v>POCITO</v>
          </cell>
          <cell r="F327" t="str">
            <v>https://maps.app.goo.gl/LLeMykPR2grM9uzn7</v>
          </cell>
          <cell r="G327" t="str">
            <v>https://www.google.com/maps/dir/Catamarca+Sur+664,+San+Juan/Escuela+Jorge+Washington,+J5427+Pocito,+San+Juan/Catamarca+Sur+664,+San+Juan/@-31.5696017,-68.5830743,9872m/data=!3m2!1e3!4b1!4m20!4m19!1m5!1m1!1s0x9681402690dd76eb:0x4b283f8fe10ce3f3!2m2!1d-68.5293761!2d-31.5426363!1m5!1m1!1s0x96813f961cafcf8f:0xd2039b75dd65b6ac!2m2!1d-68.5553446!2d-31.5974459!1m5!1m1!1s0x9681402690dd76eb:0x4b283f8fe10ce3f3!2m2!1d-68.5293761!2d-31.5426363!3e0?entry=ttu&amp;g_ep=EgoyMDI1MDgxMy4wIKXMDSoASAFQAw%3D%3D</v>
          </cell>
          <cell r="H327">
            <v>14.8</v>
          </cell>
        </row>
        <row r="328">
          <cell r="D328" t="str">
            <v>0ACTBJFJ90001MX</v>
          </cell>
          <cell r="E328" t="str">
            <v>Albardon</v>
          </cell>
          <cell r="F328" t="str">
            <v>https://maps.google.com/maps?q=-31.437913%2C-68.5214173&amp;z=17&amp;hl=es</v>
          </cell>
          <cell r="G328" t="str">
            <v>https://www.google.com/maps/dir/Catamarca+Sur+664,+San+Juan/E.N.I.+N%C2%B0+19+%22Tanitani%22,+J5419+Villa+Gral.+San+Martin,+San+Juan/Catamarca+Sur+664,+San+Juan/@-31.4959968,-68.601825,19759m/data=!3m2!1e3!4b1!4m20!4m19!1m5!1m1!1s0x9681402690dd76eb:0x4b283f8fe10ce3f3!2m2!1d-68.5293761!2d-31.5426363!1m5!1m1!1s0x968169d20f5aaeb9:0x7ad76b32c3d8acc3!2m2!1d-68.521542!2d-31.4377963!1m5!1m1!1s0x9681402690dd76eb:0x4b283f8fe10ce3f3!2m2!1d-68.5293761!2d-31.5426363!3e0?hl=es&amp;entry=ttu&amp;g_ep=EgoyMDI1MDgxMy4wIKXMDSoASAFQAw%3D%3D</v>
          </cell>
          <cell r="H328">
            <v>32</v>
          </cell>
        </row>
        <row r="329">
          <cell r="D329" t="str">
            <v>0ACTBJFJ900007K</v>
          </cell>
          <cell r="E329" t="str">
            <v>Capital</v>
          </cell>
          <cell r="F329" t="str">
            <v>https://maps.google.com/maps?q=-31.5397763%2C-68.523954&amp;z=17&amp;hl=es</v>
          </cell>
          <cell r="G329" t="str">
            <v>https://www.google.com/maps/dir/Catamarca+Sur+664,+San+Juan/Escuela+Martha+Salotti+(Turno+Tarde),+Gral+Mariano+Acha+Sur+466,+J5402EGJ+San+Juan/@-31.541232,-68.529382,617m/data=!3m2!1e3!4b1!4m14!4m13!1m5!1m1!1s0x9681402690dd76eb:0x4b283f8fe10ce3f3!2m2!1d-68.5293761!2d-31.5426363!1m5!1m1!1s0x96816a9d64e8191d:0xc16a5be2d6756e00!2m2!1d-68.5237817!2d-31.5398134!3e0?hl=es&amp;entry=ttu&amp;g_ep=EgoyMDI1MDYyOS4wIKXMDSoASAFQAw%3D%3D</v>
          </cell>
          <cell r="H329">
            <v>0.8</v>
          </cell>
        </row>
        <row r="330">
          <cell r="D330" t="str">
            <v>0ACTBJFH90001GW</v>
          </cell>
          <cell r="E330" t="str">
            <v>Capital</v>
          </cell>
          <cell r="F330" t="str">
            <v>https://maps.google.com/maps?q=-31.5192611%2C-68.5355017&amp;z=17&amp;hl=es</v>
          </cell>
          <cell r="G330" t="str">
            <v>https://www.google.com/maps/dir/Catamarca+Sur+664,+San+Juan/Escuela+Esteban+Echeverria,+Av.+Circunvalaci%C3%B3n,+J5400+San+Juan/Catamarca+Sur+664,+San+Juan/@-31.5313426,-68.5537872,4938m/data=!3m2!1e3!4b1!4m20!4m19!1m5!1m1!1s0x9681402690dd76eb:0x4b283f8fe10ce3f3!2m2!1d-68.5293761!2d-31.5426363!1m5!1m1!1s0x9681415f107e8a8f:0x7704bbdd05471f05!2m2!1d-68.5364703!2d-31.5194379!1m5!1m1!1s0x9681402690dd76eb:0x4b283f8fe10ce3f3!2m2!1d-68.5293761!2d-31.5426363!3e0?hl=es&amp;entry=ttu&amp;g_ep=EgoyMDI1MDgxMy4wIKXMDSoASAFQAw%3D%3D</v>
          </cell>
          <cell r="H330">
            <v>7.1</v>
          </cell>
        </row>
        <row r="331">
          <cell r="D331" t="str">
            <v>0ACTBJFH90002GY</v>
          </cell>
          <cell r="E331" t="str">
            <v>Zonda</v>
          </cell>
          <cell r="F331" t="str">
            <v>https://maps.google.com/maps?q=-31.5448103%2C-68.7522977&amp;z=17&amp;hl=es</v>
          </cell>
          <cell r="G331" t="str">
            <v>https://www.google.com/maps/dir/Catamarca+Sur+664,+San+Juan/Escuela+Mercedes+Nievas+de+Castro,+Mat%C3%ADas+S%C3%A1nchez,+Villa+Basilio+Nievas,+San+Juan/Catamarca+Sur+664,+San+Juan/@-31.5526162,-68.7231938,19747m/data=!3m2!1e3!4b1!4m20!4m19!1m5!1m1!1s0x9681402690dd76eb:0x4b283f8fe10ce3f3!2m2!1d-68.5293761!2d-31.5426363!1m5!1m1!1s0x968148dd58c5a193:0x210e5dbb8b3b9c01!2m2!1d-68.7521732!2d-31.5447818!1m5!1m1!1s0x9681402690dd76eb:0x4b283f8fe10ce3f3!2m2!1d-68.5293761!2d-31.5426363!3e0?hl=es&amp;entry=ttu&amp;g_ep=EgoyMDI1MDgxMy4wIKXMDSoASAFQAw%3D%3D</v>
          </cell>
          <cell r="H331">
            <v>50.9</v>
          </cell>
        </row>
        <row r="332">
          <cell r="D332" t="str">
            <v>0ACTBJFHB0001CL</v>
          </cell>
          <cell r="E332" t="str">
            <v>Chimbas</v>
          </cell>
          <cell r="F332" t="str">
            <v>https://maps.app.goo.gl/QUn7nYrxRew6sNaF6</v>
          </cell>
          <cell r="G332" t="str">
            <v>https://www.google.com/maps/dir/Catamarca+Sur+664,+San+Juan/Escuela+Presidente+Avellaneda,+Gral.+Urquiza+Norte+1653,+J5413+Chimbas,+San+Juan/Catamarca+Sur+664,+San+Juan/@-31.5186197,-68.5790144,9877m/data=!3m2!1e3!4b1!4m20!4m19!1m5!1m1!1s0x9681402690dd76eb:0x4b283f8fe10ce3f3!2m2!1d-68.5293761!2d-31.5426363!1m5!1m1!1s0x968141f49d48852b:0xba079f69668366ab!2m2!1d-68.5462432!2d-31.4930395!1m5!1m1!1s0x9681402690dd76eb:0x4b283f8fe10ce3f3!2m2!1d-68.5293761!2d-31.5426363!3e0?entry=ttu&amp;g_ep=EgoyMDI1MDgxMy4wIKXMDSoASAFQAw%3D%3D</v>
          </cell>
          <cell r="H332">
            <v>12.9</v>
          </cell>
        </row>
        <row r="333">
          <cell r="D333" t="str">
            <v>0ACTBJFJB0000MV</v>
          </cell>
          <cell r="E333" t="str">
            <v>Zonda</v>
          </cell>
          <cell r="F333" t="str">
            <v>https://maps.app.goo.gl/m2GSaDafsJk92qT3A</v>
          </cell>
          <cell r="G333" t="str">
            <v>https://www.google.com/maps/dir/Catamarca+Sur+664,+San+Juan/E.N.I.+N%C2%B0+73+SIERRAS+AZULES,+Unnamed+Road,+Villa+Basilio+Nievas,+San+Juan/Catamarca+Sur+664,+San+Juan/@-31.5526162,-68.7127068,19747m/data=!3m2!1e3!4b1!4m20!4m19!1m5!1m1!1s0x9681402690dd76eb:0x4b283f8fe10ce3f3!2m2!1d-68.5293761!2d-31.5426363!1m5!1m1!1s0x968149787133da19:0x5fb2520aab753b4b!2m2!1d-68.7293108!2d-31.5512815!1m5!1m1!1s0x9681402690dd76eb:0x4b283f8fe10ce3f3!2m2!1d-68.5293761!2d-31.5426363!3e0?entry=ttu&amp;g_ep=EgoyMDI1MDgxMy4wIKXMDSoASAFQAw%3D%3D</v>
          </cell>
          <cell r="H333">
            <v>46.3</v>
          </cell>
        </row>
        <row r="334">
          <cell r="D334" t="str">
            <v>0ACTBJFJ90000YZ</v>
          </cell>
          <cell r="E334" t="str">
            <v>Albardón</v>
          </cell>
          <cell r="F334" t="str">
            <v>https://maps.google.com/maps?q=-31.422617%2C-68.5463343&amp;z=17&amp;hl=es</v>
          </cell>
          <cell r="G334" t="str">
            <v>https://www.google.com/maps/dir/Catamarca+Sur+664,+San+Juan/Escuela+Villicum,+Albard%C3%B3n,+San+Juan/Catamarca+Sur+664,+San+Juan/@-31.4880747,-68.6080787,19761m/data=!3m2!1e3!4b1!4m20!4m19!1m5!1m1!1s0x9681402690dd76eb:0x4b283f8fe10ce3f3!2m2!1d-68.5293761!2d-31.5426363!1m5!1m1!1s0x968142957d87a17b:0xe0191f9b15d24db5!2m2!1d-68.5462102!2d-31.4221549!1m5!1m1!1s0x9681402690dd76eb:0x4b283f8fe10ce3f3!2m2!1d-68.5293761!2d-31.5426363!3e0?hl=es&amp;entry=ttu&amp;g_ep=EgoyMDI1MDgxMy4wIKXMDSoASAFQAw%3D%3D</v>
          </cell>
          <cell r="H334">
            <v>37.5</v>
          </cell>
        </row>
        <row r="335">
          <cell r="D335" t="str">
            <v>0ACTBJFJ50004DM</v>
          </cell>
          <cell r="E335" t="str">
            <v>Capital</v>
          </cell>
          <cell r="F335" t="str">
            <v>https://maps.google.com/maps?q=-31.5184987%2C-68.5252777&amp;z=17&amp;hl=es</v>
          </cell>
          <cell r="G335" t="str">
            <v>https://www.google.com/maps/dir/Catamarca+Sur+664,+San+Juan/Escuela+Dr+Guillermo+Rawson,+San+Lorenzo+Este,+J5400+San+Juan/@-31.5304191,-68.5477252,4938m/data=!3m2!1e3!4b1!4m14!4m13!1m5!1m1!1s0x9681402690dd76eb:0x4b283f8fe10ce3f3!2m2!1d-68.5293761!2d-31.5426363!1m5!1m1!1s0x96816be080aeb59b:0xa4e687c72b4add02!2m2!1d-68.5244402!2d-31.5184813!3e0?hl=es&amp;entry=ttu&amp;g_ep=EgoyMDI1MDYyOS4wIKXMDSoASAFQAw%3D%3D</v>
          </cell>
          <cell r="H335">
            <v>7</v>
          </cell>
        </row>
        <row r="336">
          <cell r="D336" t="str">
            <v>0ACTBJFJ50000QD</v>
          </cell>
          <cell r="E336" t="str">
            <v>Santa Lucia</v>
          </cell>
          <cell r="F336" t="str">
            <v>https://maps.google.com/maps?q=-31.5337652%2C-68.4676959&amp;z=17&amp;hl=es</v>
          </cell>
          <cell r="G336" t="str">
            <v>https://www.google.com/maps/dir/Catamarca+Sur+664,+San+Juan/Escuela+Gral.+Balcarce,+J5411+Santa+Luc%C3%ADa,+San+Juan/Catamarca+Sur+664,+San+Juan/@-31.5387947,-68.5192985,4937m/data=!3m2!1e3!4b1!4m20!4m19!1m5!1m1!1s0x9681402690dd76eb:0x4b283f8fe10ce3f3!2m2!1d-68.5293761!2d-31.5426363!1m5!1m1!1s0x96816b198077af87:0x740eaf82e198a6fa!2m2!1d-68.4677311!2d-31.5336557!1m5!1m1!1s0x9681402690dd76eb:0x4b283f8fe10ce3f3!2m2!1d-68.5293761!2d-31.5426363!3e0?hl=es&amp;entry=ttu&amp;g_ep=EgoyMDI1MDgxMy4wIKXMDSoASAFQAw%3D%3D</v>
          </cell>
          <cell r="H336">
            <v>14</v>
          </cell>
        </row>
        <row r="337">
          <cell r="D337" t="str">
            <v>0ACTBJFJ50003KW</v>
          </cell>
          <cell r="E337" t="str">
            <v>Santa Lucia</v>
          </cell>
          <cell r="F337" t="str">
            <v>https://maps.google.com/maps?q=-31.521955%2C-68.4956228&amp;z=17&amp;hl=es</v>
          </cell>
          <cell r="G337" t="str">
            <v>https://www.google.com/maps/dir/Catamarca+Sur+664,+San+Juan/E.N.I.+N%C2%BA+70,+J5411+Santa+Luc%C3%ADa,+San+Juan/Catamarca+Sur+664,+San+Juan/@-31.5378796,-68.5334489,4937m/data=!3m2!1e3!4b1!4m20!4m19!1m5!1m1!1s0x9681402690dd76eb:0x4b283f8fe10ce3f3!2m2!1d-68.5293761!2d-31.5426363!1m5!1m1!1s0x96816b2eb3224071:0x2e22d8b34dea0ce!2m2!1d-68.4953298!2d-31.5219788!1m5!1m1!1s0x9681402690dd76eb:0x4b283f8fe10ce3f3!2m2!1d-68.5293761!2d-31.5426363!3e0?hl=es&amp;entry=ttu&amp;g_ep=EgoyMDI1MDgxMy4wIKXMDSoASAFQAw%3D%3D</v>
          </cell>
          <cell r="H337">
            <v>13.9</v>
          </cell>
        </row>
        <row r="338">
          <cell r="D338" t="str">
            <v>0ACTBJFHB00002D</v>
          </cell>
          <cell r="E338" t="str">
            <v>San Martin</v>
          </cell>
          <cell r="F338" t="str">
            <v>https://maps.google.com/maps?q=-31.4892935%2C-68.324546&amp;z=17&amp;hl=es</v>
          </cell>
          <cell r="G338" t="str">
            <v>https://www.google.com/maps/dir/Catamarca+Sur+664,+San+Juan/Escuela+Juan+Larrea+E.M.E.R,+San+Isidro,+San+Juan/Catamarca+Sur+664,+San+Juan/@-31.516338,-68.5124528,19755m/data=!3m2!1e3!4b1!4m20!4m19!1m5!1m1!1s0x9681402690dd76eb:0x4b283f8fe10ce3f3!2m2!1d-68.5293761!2d-31.5426363!1m5!1m1!1s0x9681727d0414f8e1:0xc1d4c8923c3f7c8b!2m2!1d-68.3245774!2d-31.4894476!1m5!1m1!1s0x9681402690dd76eb:0x4b283f8fe10ce3f3!2m2!1d-68.5293761!2d-31.5426363!3e0?hl=es&amp;entry=ttu&amp;g_ep=EgoyMDI1MDgxMy4wIKXMDSoASAFQAw%3D%3D</v>
          </cell>
          <cell r="H338">
            <v>55.7</v>
          </cell>
        </row>
        <row r="339">
          <cell r="D339" t="str">
            <v>0ACTBJFK20001MJ</v>
          </cell>
          <cell r="E339" t="str">
            <v>Capital</v>
          </cell>
          <cell r="F339" t="str">
            <v>https://maps.google.com/maps?q=-31.5200064%2C-68.5560482&amp;z=17&amp;hl=es</v>
          </cell>
          <cell r="G339" t="str">
            <v>https://www.google.com/maps/dir/Catamarca+Sur+664,+San+Juan/Escuela+Primaria+%22Mar%C3%ADa+Luisa+Villarino+de+Del+Carril%22,+Sgto.+Cabral+Oeste+1722,+J5400+San+Juan/Catamarca+Sur+664,+San+Juan/@-31.5374355,-68.5642218,4938m/data=!3m2!1e3!4b1!4m20!4m19!1m5!1m1!1s0x9681402690dd76eb:0x4b283f8fe10ce3f3!2m2!1d-68.5293761!2d-31.5426363!1m5!1m1!1s0x968141ba3dc83c0b:0x748a603839a43cee!2m2!1d-68.5556233!2d-31.5202168!1m5!1m1!1s0x9681402690dd76eb:0x4b283f8fe10ce3f3!2m2!1d-68.5293761!2d-31.5426363!3e0?hl=es&amp;entry=ttu&amp;g_ep=EgoyMDI1MDgxMy4wIKXMDSoASAFQAw%3D%3D</v>
          </cell>
          <cell r="H339">
            <v>11.8</v>
          </cell>
        </row>
        <row r="340">
          <cell r="D340" t="str">
            <v>0ACTBJFH90002XZ</v>
          </cell>
          <cell r="E340" t="str">
            <v>9 de Julio.</v>
          </cell>
          <cell r="F340" t="str">
            <v>https://maps.google.com/maps?q=-31.5915221%2C-68.4113605&amp;z=17&amp;hl=es</v>
          </cell>
          <cell r="G340" t="str">
            <v>https://www.google.com/maps/dir/Catamarca+Sur+664,+San+Juan/Escuela+Dr.+Luis+Agote,+Ruta+Nacional+N%C2%B020,+Km+16,+Nueve+de+Julio,+San+Juan/Catamarca+Sur+664,+San+Juan/@-31.566592,-68.5117372,9872m/data=!3m1!1e3!4m20!4m19!1m5!1m1!1s0x9681402690dd76eb:0x4b283f8fe10ce3f3!2m2!1d-68.5293761!2d-31.5426363!1m5!1m1!1s0x9681135bd23f119f:0xf4f5be61ec24ccf6!2m2!1d-68.4113758!2d-31.5916694!1m5!1m1!1s0x9681402690dd76eb:0x4b283f8fe10ce3f3!2m2!1d-68.5293761!2d-31.5426363!3e0?hl=es&amp;entry=ttu&amp;g_ep=EgoyMDI1MDgxMy4wIKXMDSoASAFQAw%3D%3D</v>
          </cell>
          <cell r="H340">
            <v>29.4</v>
          </cell>
        </row>
        <row r="341">
          <cell r="D341" t="str">
            <v>0ACTBJFH700015M</v>
          </cell>
          <cell r="E341" t="str">
            <v>Angaco</v>
          </cell>
          <cell r="F341" t="str">
            <v>https://maps.google.com/maps?q=-31.4517539%2C-68.4037619&amp;z=17&amp;hl=es</v>
          </cell>
          <cell r="G341" t="str">
            <v>https://www.google.com/maps/dir/Catamarca+Sur+664,+San+Juan/ENI+Nro.+38,+Angaco,+San+Juan/Catamarca+Sur+664,+San+Juan/@-31.5031629,-68.5521971,19757m/data=!3m2!1e3!4b1!4m20!4m19!1m5!1m1!1s0x9681402690dd76eb:0x4b283f8fe10ce3f3!2m2!1d-68.5293761!2d-31.5426363!1m5!1m1!1s0x96816e982221ac89:0x63e37278689e81b2!2m2!1d-68.4038399!2d-31.4516889!1m5!1m1!1s0x9681402690dd76eb:0x4b283f8fe10ce3f3!2m2!1d-68.5293761!2d-31.5426363!3e0?hl=es&amp;entry=ttu&amp;g_ep=EgoyMDI1MDgxMy4wIKXMDSoASAFQAw%3D%3D</v>
          </cell>
          <cell r="H341">
            <v>45.3</v>
          </cell>
        </row>
        <row r="342">
          <cell r="D342" t="str">
            <v>0ACTBJFH90000ME</v>
          </cell>
          <cell r="E342" t="str">
            <v>25 de Mayo.</v>
          </cell>
          <cell r="F342" t="str">
            <v>https://maps.google.com/maps?q=-31.7424414%2C-68.3136668&amp;z=17&amp;hl=es</v>
          </cell>
          <cell r="G342" t="str">
            <v>https://www.google.com/maps/dir/Catamarca+Sur+664,+San+Juan/ENI+N%C2%B054+Santa+Rosa,+A.+Torres,+Villa+Santa+Rosa,+San+Juan/Catamarca+Sur+664,+San+Juan/@-31.6416191,-68.584671,39456m/data=!3m2!1e3!4b1!4m20!4m19!1m5!1m1!1s0x9681402690dd76eb:0x4b283f8fe10ce3f3!2m2!1d-68.5293761!2d-31.5426363!1m5!1m1!1s0x968105bad3496101:0x491d1642372d36b1!2m2!1d-68.3135496!2d-31.7423373!1m5!1m1!1s0x9681402690dd76eb:0x4b283f8fe10ce3f3!2m2!1d-68.5293761!2d-31.5426363!3e0?hl=es&amp;entry=ttu&amp;g_ep=EgoyMDI1MDgxMy4wIKXMDSoASAFQAw%3D%3D</v>
          </cell>
          <cell r="H342">
            <v>72.5</v>
          </cell>
        </row>
        <row r="343">
          <cell r="D343" t="str">
            <v>0ACTBJFJ40003DM</v>
          </cell>
          <cell r="E343" t="str">
            <v>25 de Mayo.</v>
          </cell>
          <cell r="F343" t="str">
            <v>https://maps.google.com/maps?q=-31.7472773%2C-68.3153164&amp;z=17&amp;hl=es</v>
          </cell>
          <cell r="G343" t="str">
            <v>https://www.google.com/maps/dir/Catamarca+Sur+664,+San+Juan/Escuela+Provincia+de+San+Juan,+25+de+Mayo+y+Mitre+S%2FN,+Villa+Santa+Rosa,+Dpto,+San+Juan/Catamarca+Sur+664,+San+Juan/@-31.6438039,-68.584671,39455m/data=!3m2!1e3!4b1!4m20!4m19!1m5!1m1!1s0x9681402690dd76eb:0x4b283f8fe10ce3f3!2m2!1d-68.5293761!2d-31.5426363!1m5!1m1!1s0x96810596e695f093:0x4bee11bf244e827f!2m2!1d-68.3143901!2d-31.7470534!1m5!1m1!1s0x9681402690dd76eb:0x4b283f8fe10ce3f3!2m2!1d-68.5293761!2d-31.5426363!3e0?hl=es&amp;entry=ttu&amp;g_ep=EgoyMDI1MDgxMy4wIKXMDSoASAFQAw%3D%3D</v>
          </cell>
          <cell r="H343">
            <v>73.5</v>
          </cell>
        </row>
        <row r="344">
          <cell r="D344" t="str">
            <v>0ACTBJFH90002CD</v>
          </cell>
          <cell r="E344" t="str">
            <v>Caucete</v>
          </cell>
          <cell r="F344" t="str">
            <v>https://maps.google.com/maps?q=-31.6583681%2C-68.2750123&amp;z=17&amp;hl=es</v>
          </cell>
          <cell r="G344" t="str">
            <v>https://www.google.com/maps/dir/Catamarca+Sur+664,+San+Juan/Escuela+Manuel+Pacifico+Antequeda,+RN20+1051,+J5442+Villa+Col%C3%B3n,+San+Juan/Catamarca+Sur+664,+San+Juan/@-31.5998595,-68.4855209,19737m/data=!3m2!1e3!4b1!4m20!4m19!1m5!1m1!1s0x9681402690dd76eb:0x4b283f8fe10ce3f3!2m2!1d-68.5293761!2d-31.5426363!1m5!1m1!1s0x96810f02b81f9bf7:0xe75f70ac32ae052e!2m2!1d-68.2751029!2d-31.6582625!1m5!1m1!1s0x9681402690dd76eb:0x4b283f8fe10ce3f3!2m2!1d-68.5293761!2d-31.5426363!3e0?hl=es&amp;entry=ttu&amp;g_ep=EgoyMDI1MDgxMy4wIKXMDSoASAFQAw%3D%3D</v>
          </cell>
          <cell r="H344">
            <v>60.9</v>
          </cell>
        </row>
        <row r="345">
          <cell r="D345" t="str">
            <v>0ACTBJFH90001SL</v>
          </cell>
          <cell r="E345" t="str">
            <v>25 de Mayo.</v>
          </cell>
          <cell r="F345" t="str">
            <v>https://maps.google.com/maps?q=-31.8166414%2C-68.3241394&amp;z=17&amp;hl=es</v>
          </cell>
          <cell r="G345" t="str">
            <v>https://www.google.com/maps/dir/Catamarca+Sur+664,+San+Juan/Escuela+Prilidiano+Pueyrred%C3%B3n,+Las+Casuarinas+25+De+Mayo,+RP279,+Las+Casuarinas,+San+Juan/Catamarca+Sur+664,+San+Juan/@-31.6787005,-68.5924059,39440m/data=!3m2!1e3!4b1!4m20!4m19!1m5!1m1!1s0x9681402690dd76eb:0x4b283f8fe10ce3f3!2m2!1d-68.5293761!2d-31.5426363!1m5!1m1!1s0x968103483af09221:0xa88b6f08b39f753f!2m2!1d-68.3240227!2d-31.8168292!1m5!1m1!1s0x9681402690dd76eb:0x4b283f8fe10ce3f3!2m2!1d-68.5293761!2d-31.5426363!3e0?hl=es&amp;entry=ttu&amp;g_ep=EgoyMDI1MDgxMy4wIKXMDSoASAFQAw%3D%3D</v>
          </cell>
          <cell r="H345">
            <v>89.8</v>
          </cell>
        </row>
        <row r="346">
          <cell r="D346" t="str">
            <v>0ACTBJFJ500013V</v>
          </cell>
          <cell r="E346" t="str">
            <v>Caucete</v>
          </cell>
          <cell r="F346" t="str">
            <v>https://maps.google.com/maps?q=-31.6371909%2C-68.2826239&amp;z=17&amp;hl=es</v>
          </cell>
          <cell r="G346" t="str">
            <v>https://www.google.com/maps/dir/Catamarca+Sur+664,+San+Juan/-31.6371909,-68.2826239/Catamarca+Sur+664,+San+Juan/@-31.5928559,-68.4892519,19738m/data=!3m2!1e3!4b1!4m15!4m14!1m5!1m1!1s0x9681402690dd76eb:0x4b283f8fe10ce3f3!2m2!1d-68.5293761!2d-31.5426363!1m0!1m5!1m1!1s0x9681402690dd76eb:0x4b283f8fe10ce3f3!2m2!1d-68.5293761!2d-31.5426363!3e0?hl=es&amp;entry=ttu&amp;g_ep=EgoyMDI1MDgxMy4wIKXMDSoASAFQAw%3D%3D</v>
          </cell>
          <cell r="H346">
            <v>58.9</v>
          </cell>
        </row>
        <row r="347">
          <cell r="D347" t="str">
            <v>0ACTBJFH900008M</v>
          </cell>
          <cell r="E347" t="str">
            <v>Capital</v>
          </cell>
          <cell r="F347" t="str">
            <v>https://maps.google.com/maps?q=-31.529803%2C-68.5417204&amp;z=17&amp;hl=es</v>
          </cell>
          <cell r="G347" t="str">
            <v>https://www.google.com/maps/dir/Catamarca+Sur+664,+San+Juan/Escuela+Luis+Jorge+Fontana,+25+de+Mayo+Oeste+1057,+J5400ACT+J5400ACT,+San+Juan/Catamarca+Sur+664,+San+Juan/@-31.5374842,-68.5460367,2469m/data=!3m2!1e3!4b1!4m20!4m19!1m5!1m1!1s0x9681402690dd76eb:0x4b283f8fe10ce3f3!2m2!1d-68.5293761!2d-31.5426363!1m5!1m1!1s0x9681403345144581:0x5b75fbf7b22a1c71!2m2!1d-68.5419004!2d-31.5303268!1m5!1m1!1s0x9681402690dd76eb:0x4b283f8fe10ce3f3!2m2!1d-68.5293761!2d-31.5426363!3e0?hl=es&amp;entry=ttu&amp;g_ep=EgoyMDI1MDgxMy4wIKXMDSoASAFQAw%3D%3D</v>
          </cell>
          <cell r="H347">
            <v>5.0999999999999996</v>
          </cell>
        </row>
        <row r="348">
          <cell r="D348" t="str">
            <v>0ACTBJFK200027B</v>
          </cell>
          <cell r="E348" t="str">
            <v>San Martin</v>
          </cell>
          <cell r="F348" t="str">
            <v>https://maps.google.com/maps?q=-31.5347645%2C-68.3994201&amp;z=17&amp;hl=es</v>
          </cell>
          <cell r="G348" t="str">
            <v>https://www.google.com/maps/dir/Catamarca+Sur+664,+San+Juan/Escuela+Autonom%C3%ADa+Ciudad+de+Bail%C3%A9n,+RP170,+San+Juan/Catamarca+Sur+664,+San+Juan/@-31.5465301,-68.5065348,9874m/data=!3m2!1e3!4b1!4m20!4m19!1m5!1m1!1s0x9681402690dd76eb:0x4b283f8fe10ce3f3!2m2!1d-68.5293761!2d-31.5426363!1m5!1m1!1s0x96816dcb1b0c8b57:0x70e6dde38a4feea9!2m2!1d-68.3995121!2d-31.5350009!1m5!1m1!1s0x9681402690dd76eb:0x4b283f8fe10ce3f3!2m2!1d-68.5293761!2d-31.5426363!3e0?hl=es&amp;entry=ttu&amp;g_ep=EgoyMDI1MDgxMy4wIKXMDSoASAFQAw%3D%3D</v>
          </cell>
          <cell r="H348">
            <v>35.4</v>
          </cell>
        </row>
        <row r="349">
          <cell r="D349" t="str">
            <v>0ACTBJFH90001YT</v>
          </cell>
          <cell r="E349" t="str">
            <v>9 de Julio.</v>
          </cell>
          <cell r="F349" t="str">
            <v>https://maps.app.goo.gl/hSWHQpuCyXfxuLUk6</v>
          </cell>
          <cell r="G349" t="str">
            <v>https://www.google.com/maps/dir/Catamarca+Sur+664,+San+Juan/Escuela+Elvira+de+La+Riestra+de+Lainez,+RP60,+San+Juan/Catamarca+Sur+664,+San+Juan/@-31.4858625,-68.7154959,19761m/data=!3m2!1e3!4b1!4m20!4m19!1m5!1m1!1s0x9681402690dd76eb:0x4b283f8fe10ce3f3!2m2!1d-68.5293761!2d-31.5426363!1m5!1m1!1s0x96814f39c3ec0195:0xa22d5311c116c93f!2m2!1d-68.736792!2d-31.4618694!1m5!1m1!1s0x9681402690dd76eb:0x4b283f8fe10ce3f3!2m2!1d-68.5293761!2d-31.5426363!3e0?hl=es&amp;entry=ttu&amp;g_ep=EgoyMDI1MDgxMy4wIKXMDSoASAFQAw%3D%3D</v>
          </cell>
          <cell r="H349">
            <v>67.5</v>
          </cell>
        </row>
        <row r="350">
          <cell r="D350" t="str">
            <v>0ACTBJFH90000WY</v>
          </cell>
          <cell r="E350" t="str">
            <v>Ullum</v>
          </cell>
          <cell r="F350" t="str">
            <v>https://maps.google.com/maps?q=-31.4617551%2C-68.7362801&amp;z=17&amp;hl=es</v>
          </cell>
          <cell r="G350" t="str">
            <v>https://www.google.com/maps/dir/Catamarca+Sur+664,+San+Juan/Escuela+Elvira+de+La+Riestra+de+Lainez,+RP60,+San+Juan/Catamarca+Sur+664,+San+Juan/@-31.4858625,-68.7154959,19761m/data=!3m2!1e3!4b1!4m20!4m19!1m5!1m1!1s0x9681402690dd76eb:0x4b283f8fe10ce3f3!2m2!1d-68.5293761!2d-31.5426363!1m5!1m1!1s0x96814f39c3ec0195:0xa22d5311c116c93f!2m2!1d-68.736792!2d-31.4618694!1m5!1m1!1s0x9681402690dd76eb:0x4b283f8fe10ce3f3!2m2!1d-68.5293761!2d-31.5426363!3e0?hl=es&amp;entry=ttu&amp;g_ep=EgoyMDI1MDgxMy4wIKXMDSoASAFQAw%3D%3D</v>
          </cell>
          <cell r="H350">
            <v>67.5</v>
          </cell>
        </row>
        <row r="351">
          <cell r="D351" t="str">
            <v>0ACTBJFK200019W</v>
          </cell>
          <cell r="E351" t="str">
            <v>Ullum</v>
          </cell>
          <cell r="F351" t="str">
            <v>https://maps.google.com/maps?q=-31.4733643%2C-68.7459709&amp;z=17&amp;hl=es</v>
          </cell>
          <cell r="G351" t="str">
            <v>https://www.google.com/maps/dir/Catamarca+Sur+664,+San+Juan/Escuela+Benjam%C3%ADn+Lenoir+Ullum,+San+Juan/Catamarca+Sur+664,+San+Juan/@-31.5186851,-68.7202807,19754m/data=!3m2!1e3!4b1!4m20!4m19!1m5!1m1!1s0x9681402690dd76eb:0x4b283f8fe10ce3f3!2m2!1d-68.5293761!2d-31.5426363!1m5!1m1!1s0x96814ff7ff568ef1:0x9489ed8043b5cf21!2m2!1d-68.7461109!2d-31.4734854!1m5!1m1!1s0x9681402690dd76eb:0x4b283f8fe10ce3f3!2m2!1d-68.5293761!2d-31.5426363!3e0?hl=es&amp;entry=ttu&amp;g_ep=EgoyMDI1MDgxMy4wIKXMDSoASAFQAw%3D%3D</v>
          </cell>
          <cell r="H351">
            <v>66.8</v>
          </cell>
        </row>
        <row r="352">
          <cell r="D352" t="str">
            <v>ZELLBJFK40002DL</v>
          </cell>
          <cell r="E352" t="str">
            <v>25 de Mayo.</v>
          </cell>
          <cell r="F352" t="str">
            <v>https://maps.google.com/maps?q=-31.7649054%2C-68.3439914&amp;z=17&amp;hl=es</v>
          </cell>
          <cell r="G352" t="str">
            <v>https://www.google.com/maps/dir/Catamarca+Sur+664,+San+Juan/Escuela+Comandante+Tomas+Espora,+RP246,+Villa+Santa+Rosa,+San+Juan/Catamarca+Sur+664,+San+Juan/@-31.6527503,-68.5975217,39451m/data=!3m2!1e3!4b1!4m20!4m19!1m5!1m1!1s0x9681402690dd76eb:0x4b283f8fe10ce3f3!2m2!1d-68.5293761!2d-31.5426363!1m5!1m1!1s0x96811b2fa270f9b9:0x1115512a750ea170!2m2!1d-68.3438575!2d-31.7649086!1m5!1m1!1s0x9681402690dd76eb:0x4b283f8fe10ce3f3!2m2!1d-68.5293761!2d-31.5426363!3e0?hl=es&amp;entry=ttu&amp;g_ep=EgoyMDI1MDgxMy4wIKXMDSoASAFQAw%3D%3D</v>
          </cell>
          <cell r="H352">
            <v>73.400000000000006</v>
          </cell>
        </row>
        <row r="353">
          <cell r="D353" t="str">
            <v>0ACTBJFH70000BA</v>
          </cell>
          <cell r="E353" t="str">
            <v>Santa Lucía</v>
          </cell>
          <cell r="F353" t="str">
            <v>https://maps.google.com/maps?q=-31.5415756%2C-68.4954641&amp;z=17&amp;hl=es</v>
          </cell>
          <cell r="G353" t="str">
            <v>https://www.google.com/maps/dir/Catamarca+Sur+664,+San+Juan/ENI+Ayac+Yanen,+J5411+Santa+Luc%C3%ADa,+San+Juan/Catamarca+Sur+664,+San+Juan/@-31.5416062,-68.5320392,4937m/data=!3m2!1e3!4b1!4m20!4m19!1m5!1m1!1s0x9681402690dd76eb:0x4b283f8fe10ce3f3!2m2!1d-68.5293761!2d-31.5426363!1m5!1m1!1s0x96816b697c5597df:0x82e9818b2cf1f67!2m2!1d-68.4954306!2d-31.5416302!1m5!1m1!1s0x9681402690dd76eb:0x4b283f8fe10ce3f3!2m2!1d-68.5293761!2d-31.5426363!3e0?hl=es&amp;entry=ttu&amp;g_ep=EgoyMDI1MDgxMy4wIKXMDSoASAFQAw%3D%3D</v>
          </cell>
          <cell r="H353">
            <v>7.3</v>
          </cell>
        </row>
        <row r="354">
          <cell r="D354" t="str">
            <v>0ACTBJFH90000BX</v>
          </cell>
          <cell r="E354" t="str">
            <v>Rawson</v>
          </cell>
          <cell r="F354" t="str">
            <v>https://maps.google.com/maps?q=-31.573898%2C-68.5376856&amp;z=17&amp;hl=es</v>
          </cell>
          <cell r="G354" t="str">
            <v>https://www.google.com/maps/dir/Catamarca+Sur+664,+San+Juan/E.N.I.+N*+36+%22Milo+Lockett%22,+Jos%C3%A9+Mart%C3%AD+Oeste,+J5425+Villa+Krause,+San+Juan/Catamarca+Sur+664,+San+Juan/@-31.5577889,-68.5535941,4936m/data=!3m2!1e3!4b1!4m20!4m19!1m5!1m1!1s0x9681402690dd76eb:0x4b283f8fe10ce3f3!2m2!1d-68.5293761!2d-31.5426363!1m5!1m1!1s0x96813f5a382b9305:0xe29f614a605f5082!2m2!1d-68.5376051!2d-31.5737695!1m5!1m1!1s0x9681402690dd76eb:0x4b283f8fe10ce3f3!2m2!1d-68.5293761!2d-31.5426363!3e0?hl=es&amp;entry=ttu&amp;g_ep=EgoyMDI1MDgxMy4wIKXMDSoASAFQAw%3D%3D</v>
          </cell>
          <cell r="H354">
            <v>8.4</v>
          </cell>
        </row>
        <row r="355">
          <cell r="D355" t="str">
            <v>ZELLBJFJB0007ZV</v>
          </cell>
          <cell r="E355" t="str">
            <v>Santa Lucia</v>
          </cell>
          <cell r="F355" t="str">
            <v>https://maps.google.com/maps?q=-31.5103434%2C-68.4649967&amp;z=17&amp;hl=es</v>
          </cell>
          <cell r="G355" t="str">
            <v>https://www.google.com/maps/dir/Catamarca+Sur+664,+San+Juan/Escuela+Educaci%C3%B3n+Popular,+Calle+Balcarce+2262+Norte,+Santa+Luc%C3%ADa,+San+Juan/Catamarca+Sur+664,+San+Juan/@-31.5325383,-68.5391735,9876m/data=!3m2!1e3!4b1!4m20!4m19!1m5!1m1!1s0x9681402690dd76eb:0x4b283f8fe10ce3f3!2m2!1d-68.5293761!2d-31.5426363!1m5!1m1!1s0x96816ba5f6f27531:0xb3a894976a201f82!2m2!1d-68.464924!2d-31.5102309!1m5!1m1!1s0x9681402690dd76eb:0x4b283f8fe10ce3f3!2m2!1d-68.5293761!2d-31.5426363!3e0?hl=es&amp;entry=ttu&amp;g_ep=EgoyMDI1MDgxMy4wIKXMDSoASAFQAw%3D%3D</v>
          </cell>
          <cell r="H355">
            <v>20.6</v>
          </cell>
        </row>
        <row r="356">
          <cell r="D356" t="str">
            <v>ZELLBJFJA00020F</v>
          </cell>
          <cell r="E356" t="str">
            <v>Santa Lucia</v>
          </cell>
          <cell r="F356" t="str">
            <v>https://maps.google.com/maps?q=-31.5341337%2C-68.4811717&amp;z=17&amp;hl=es</v>
          </cell>
          <cell r="G356" t="str">
            <v>https://www.google.com/maps/dir/Catamarca+Sur+664,+San+Juan/E.P.E.T.+N%C2%B0+8+Escuela+Provincia+de+Corrientes,+Av.+Libertador+Gral.+San+Martin+Este+3124,+J5411+Santa+Luc%C3%ADa,+San+Juan/Catamarca+Sur+664,+San+Juan/@-31.5381161,-68.5259894,4937m/data=!3m2!1e3!4b1!4m20!4m19!1m5!1m1!1s0x9681402690dd76eb:0x4b283f8fe10ce3f3!2m2!1d-68.5293761!2d-31.5426363!1m5!1m1!1s0x96816ae3bce482ed:0x4c83b3a8c76876f1!2m2!1d-68.4810816!2d-31.5337868!1m5!1m1!1s0x9681402690dd76eb:0x4b283f8fe10ce3f3!2m2!1d-68.5293761!2d-31.5426363!3e0?hl=es&amp;entry=ttu&amp;g_ep=EgoyMDI1MDgxMy4wIKXMDSoASAFQAw%3D%3D</v>
          </cell>
          <cell r="H356">
            <v>11.1</v>
          </cell>
        </row>
        <row r="357">
          <cell r="D357" t="str">
            <v>0ACTBJFH900047B</v>
          </cell>
          <cell r="E357" t="str">
            <v>25 de Mayo.</v>
          </cell>
          <cell r="F357" t="str">
            <v>https://maps.google.com/maps?q=-31.8306408%2C-68.2261325&amp;z=17&amp;hl=es</v>
          </cell>
          <cell r="G357" t="str">
            <v>https://www.google.com/maps/dir/Catamarca+Sur+664,+San+Juan/Escuela+Juan+Ignacio+Gorriti,+San+Juan/Catamarca+Sur+664,+San+Juan/@-31.6854951,-68.5270013,39437m/data=!3m2!1e3!4b1!4m20!4m19!1m5!1m1!1s0x9681402690dd76eb:0x4b283f8fe10ce3f3!2m2!1d-68.5293761!2d-31.5426363!1m5!1m1!1s0x968101a1ad6df103:0xca680ba030b56b53!2m2!1d-68.2260848!2d-31.8302461!1m5!1m1!1s0x9681402690dd76eb:0x4b283f8fe10ce3f3!2m2!1d-68.5293761!2d-31.5426363!3e0?hl=es&amp;entry=ttu&amp;g_ep=EgoyMDI1MDgxMy4wIKXMDSoASAFQAw%3D%3D</v>
          </cell>
          <cell r="H357">
            <v>111</v>
          </cell>
        </row>
        <row r="358">
          <cell r="D358" t="str">
            <v>ZELLBJFK40001VR</v>
          </cell>
          <cell r="E358" t="str">
            <v>Rawson</v>
          </cell>
          <cell r="F358" t="str">
            <v>https://maps.google.com/maps?q=-31.5626404%2C-68.5628371&amp;z=17&amp;hl=es</v>
          </cell>
          <cell r="G358" t="str">
            <v>https://www.google.com/maps/dir/Catamarca+Sur+664,+San+Juan/Escuela+Eugenia+Belin+Sarmiento,+J.+Aguilar+Oeste,+J5425+Villa+Krause,+San+Juan/Catamarca+Sur+664,+San+Juan/@-31.55323,-68.5662516,4937m/data=!3m2!1e3!4b1!4m20!4m19!1m5!1m1!1s0x9681402690dd76eb:0x4b283f8fe10ce3f3!2m2!1d-68.5293761!2d-31.5426363!1m5!1m1!1s0x96814065a52c26fb:0xe3b627ff1d8e80b7!2m2!1d-68.5625689!2d-31.5629264!1m5!1m1!1s0x9681402690dd76eb:0x4b283f8fe10ce3f3!2m2!1d-68.5293761!2d-31.5426363!3e0?hl=es&amp;entry=ttu&amp;g_ep=EgoyMDI1MDgxMy4wIKXMDSoASAFQAw%3D%3D</v>
          </cell>
          <cell r="H358">
            <v>11.3</v>
          </cell>
        </row>
        <row r="359">
          <cell r="D359" t="str">
            <v>ZELLBJFJA0000ED</v>
          </cell>
          <cell r="E359" t="str">
            <v>Rivadavia</v>
          </cell>
          <cell r="F359" t="str">
            <v>https://maps.google.com/maps?q=-31.5159398%2C-68.5661882&amp;z=17&amp;hl=es</v>
          </cell>
          <cell r="G359" t="str">
            <v>https://www.google.com/maps/dir/Catamarca+Sur+664,+San+Juan/Esc.+General+Marino+Bartolom%C3%A9+Carrera+y+Gendarme+Argentino,+J5400+Rivadavia,+San+Juan/Catamarca+Sur+664,+San+Juan/@-31.5353304,-68.5680968,4938m/data=!3m2!1e3!4b1!4m20!4m19!1m5!1m1!1s0x9681402690dd76eb:0x4b283f8fe10ce3f3!2m2!1d-68.5293761!2d-31.5426363!1m5!1m1!1s0x968141a3c56a8c8f:0x849893db1350d1f1!2m2!1d-68.5656181!2d-31.5158845!1m5!1m1!1s0x9681402690dd76eb:0x4b283f8fe10ce3f3!2m2!1d-68.5293761!2d-31.5426363!3e0?hl=es&amp;entry=ttu&amp;g_ep=EgoyMDI1MDgxMy4wIKXMDSoASAFQAw%3D%3D</v>
          </cell>
          <cell r="H359">
            <v>14.3</v>
          </cell>
        </row>
        <row r="360">
          <cell r="D360" t="str">
            <v>ZELLBJFJB0006VE</v>
          </cell>
          <cell r="E360" t="str">
            <v>Chimbas</v>
          </cell>
          <cell r="F360" t="str">
            <v>https://maps.google.com/maps?q=-31.4976477%2C-68.5383259&amp;z=17&amp;hl=es</v>
          </cell>
          <cell r="G360" t="str">
            <v>https://www.google.com/maps/dir/Catamarca+Sur+664,+San+Juan/-31.4976477,-68.5383259/Catamarca+Sur+664,+San+Juan/@-31.5209828,-68.5769475,9877m/data=!3m2!1e3!4b1!4m15!4m14!1m5!1m1!1s0x9681402690dd76eb:0x4b283f8fe10ce3f3!2m2!1d-68.5293761!2d-31.5426363!1m0!1m5!1m1!1s0x9681402690dd76eb:0x4b283f8fe10ce3f3!2m2!1d-68.5293761!2d-31.5426363!3e0?hl=es&amp;entry=ttu&amp;g_ep=EgoyMDI1MDgxMy4wIKXMDSoASAFQAw%3D%3D</v>
          </cell>
          <cell r="H360">
            <v>12.3</v>
          </cell>
        </row>
        <row r="361">
          <cell r="D361" t="str">
            <v>ZELLBJFK9000Y6E</v>
          </cell>
          <cell r="E361" t="str">
            <v>Rivadavia</v>
          </cell>
          <cell r="F361" t="str">
            <v>https://maps.google.com/maps?q=-31.5288882%2C-68.5803442&amp;z=17&amp;hl=es</v>
          </cell>
          <cell r="G361" t="str">
            <v>https://www.google.com/maps/dir/Catamarca+Sur+664,+San+Juan/E.N.I.+N%C2%BA6,+J5400+Rivadavia,+San+Juan/Catamarca+Sur+664,+San+Juan/@-31.5369923,-68.5755827,4938m/data=!3m2!1e3!4b1!4m20!4m19!1m5!1m1!1s0x9681402690dd76eb:0x4b283f8fe10ce3f3!2m2!1d-68.5293761!2d-31.5426363!1m5!1m1!1s0x968141044133ad11:0x820ca7d67a3f7e3e!2m2!1d-68.5804023!2d-31.5289677!1m5!1m1!1s0x9681402690dd76eb:0x4b283f8fe10ce3f3!2m2!1d-68.5293761!2d-31.5426363!3e0?hl=es&amp;entry=ttu&amp;g_ep=EgoyMDI1MDgxMy4wIKXMDSoASAFQAw%3D%3D</v>
          </cell>
          <cell r="H361">
            <v>12.5</v>
          </cell>
        </row>
        <row r="362">
          <cell r="D362" t="str">
            <v>ZELLBJFJA0001LJ</v>
          </cell>
          <cell r="E362" t="str">
            <v>Rivadavia</v>
          </cell>
          <cell r="F362" t="str">
            <v>https://maps.google.com/maps?q=-31.552774%2C-68.5669275&amp;z=17&amp;hl=es</v>
          </cell>
          <cell r="G362" t="str">
            <v>https://www.google.com/maps/dir/Catamarca+Sur+664,+San+Juan/E.N.I+N%C2%B022+%22Prof.+Margarita+Mugnos+de+Escudero%22,+Hip%C3%B3lito+Yrigoyen+Sur+2185,+J5400+Rivadavia,+San+Juan/Catamarca+Sur+664,+San+Juan/@-31.5486811,-68.568746,4937m/data=!3m2!1e3!4b1!4m20!4m19!1m5!1m1!1s0x9681402690dd76eb:0x4b283f8fe10ce3f3!2m2!1d-68.5293761!2d-31.5426363!1m5!1m1!1s0x968141c599f15905:0x21fa51c62696d10b!2m2!1d-68.5667936!2d-31.5530283!1m5!1m1!1s0x9681402690dd76eb:0x4b283f8fe10ce3f3!2m2!1d-68.5293761!2d-31.5426363!3e0?hl=es&amp;entry=ttu&amp;g_ep=EgoyMDI1MDgxMy4wIKXMDSoASAFQAw%3D%3D</v>
          </cell>
          <cell r="H362">
            <v>10.6</v>
          </cell>
        </row>
        <row r="363">
          <cell r="D363" t="str">
            <v>ZELLBJFK200024A</v>
          </cell>
          <cell r="E363" t="str">
            <v>Rivadavia</v>
          </cell>
          <cell r="F363" t="str">
            <v>https://maps.google.com/maps?q=-31.5142365%2C-68.6168389&amp;z=17&amp;hl=es</v>
          </cell>
          <cell r="G363" t="str">
            <v>https://www.google.com/maps/dir/Catamarca+Sur+664,+San+Juan/E.N.I.+N%C2%B030+Elsa+Bornemann,+El+Ceibo,+J5413+Rivadavia,+San+Juan/Catamarca+Sur+664,+San+Juan/@-31.5346906,-68.6145163,9875m/data=!3m2!1e3!4b1!4m20!4m19!1m5!1m1!1s0x9681402690dd76eb:0x4b283f8fe10ce3f3!2m2!1d-68.5293761!2d-31.5426363!1m5!1m1!1s0x96814122bca04a8b:0xe25e500c4749d430!2m2!1d-68.6168878!2d-31.5141617!1m5!1m1!1s0x9681402690dd76eb:0x4b283f8fe10ce3f3!2m2!1d-68.5293761!2d-31.5426363!3e0?hl=es&amp;entry=ttu&amp;g_ep=EgoyMDI1MDgxMy4wIKXMDSoASAFQAw%3D%3D</v>
          </cell>
          <cell r="H363">
            <v>24.3</v>
          </cell>
        </row>
        <row r="364">
          <cell r="D364" t="str">
            <v>ZELLBJFJB00056E</v>
          </cell>
          <cell r="E364" t="str">
            <v>Chimbas</v>
          </cell>
          <cell r="F364" t="str">
            <v>https://maps.google.com/maps?q=-31.5005102%2C-68.5092887&amp;z=17&amp;hl=es</v>
          </cell>
          <cell r="G364" t="str">
            <v>https://www.google.com/maps/dir/Catamarca+Sur+664,+San+Juan/Escuela+Welfried+Salinas,+Necochea+1108,+J5413+Chimbas,+San+Juan/Catamarca+Sur+664,+San+Juan/@-31.527894,-68.5606267,9876m/data=!3m2!1e3!4b1!4m20!4m19!1m5!1m1!1s0x9681402690dd76eb:0x4b283f8fe10ce3f3!2m2!1d-68.5293761!2d-31.5426363!1m5!1m1!1s0x96816a1315ce0853:0x86d251b84c471cb9!2m2!1d-68.5086433!2d-31.5009423!1m5!1m1!1s0x9681402690dd76eb:0x4b283f8fe10ce3f3!2m2!1d-68.5293761!2d-31.5426363!3e0?hl=es&amp;entry=ttu&amp;g_ep=EgoyMDI1MDgxMy4wIKXMDSoASAFQAw%3D%3D</v>
          </cell>
          <cell r="H364">
            <v>16.7</v>
          </cell>
        </row>
        <row r="365">
          <cell r="D365" t="str">
            <v>07QWB9UFAA00AVT</v>
          </cell>
          <cell r="E365" t="str">
            <v>Albardón</v>
          </cell>
          <cell r="F365" t="str">
            <v>https://maps.google.com/maps?q=-31.4275915%2C-68.5289578&amp;z=17&amp;hl=es</v>
          </cell>
          <cell r="G365" t="str">
            <v>https://www.google.com/maps/dir/Catamarca+Sur+664,+San+Juan/Escuela+Provincia+de+Jujuy,+Nacional,+J5419+Villa+Gral.+San+Martin,+San+Juan/Catamarca+Sur+664,+San+Juan/@-31.491174,-68.601825,19760m/data=!3m2!1e3!4b1!4m20!4m19!1m5!1m1!1s0x9681402690dd76eb:0x4b283f8fe10ce3f3!2m2!1d-68.5293761!2d-31.5426363!1m5!1m1!1s0x968143e601bdcb69:0x96cfe5a73b3b6121!2m2!1d-68.5290139!2d-31.4276884!1m5!1m1!1s0x9681402690dd76eb:0x4b283f8fe10ce3f3!2m2!1d-68.5293761!2d-31.5426363!3e0?hl=es&amp;entry=ttu&amp;g_ep=EgoyMDI1MDgxMy4wIKXMDSoASAFQAw%3D%3D</v>
          </cell>
          <cell r="H365">
            <v>34.6</v>
          </cell>
        </row>
        <row r="366">
          <cell r="D366" t="str">
            <v>0ACTBJFK20000ZL</v>
          </cell>
          <cell r="E366" t="str">
            <v>San Martín</v>
          </cell>
          <cell r="F366" t="str">
            <v>https://maps.google.com/maps?q=-31.5012876%2C-68.3669718&amp;z=17&amp;hl=es</v>
          </cell>
          <cell r="G366" t="str">
            <v>https://www.google.com/maps/dir/Catamarca+Sur+664,+San+Juan/Escuela+Rep%C3%BAblica+Del+Per%C3%BA,+C.+Belgrano,+Villa+San+Isidro,+San+Juan/Catamarca+Sur+664,+San+Juan/@-31.5356145,-68.5297437,19750m/data=!3m2!1e3!4b1!4m20!4m19!1m5!1m1!1s0x9681402690dd76eb:0x4b283f8fe10ce3f3!2m2!1d-68.5293761!2d-31.5426363!1m5!1m1!1s0x96816d2617b36fbb:0x268d80a14e295344!2m2!1d-68.3670881!2d-31.5014779!1m5!1m1!1s0x9681402690dd76eb:0x4b283f8fe10ce3f3!2m2!1d-68.5293761!2d-31.5426363!3e0?hl=es&amp;entry=ttu&amp;g_ep=EgoyMDI1MDgxMy4wIKXMDSoASAFQAw%3D%3D</v>
          </cell>
          <cell r="H366">
            <v>46.6</v>
          </cell>
        </row>
        <row r="367">
          <cell r="D367" t="str">
            <v>0ACTBJFJ90003LL</v>
          </cell>
          <cell r="E367" t="str">
            <v>Pocito</v>
          </cell>
          <cell r="F367" t="str">
            <v>https://maps.app.goo.gl/g4wY5dUtPDf5J2QE9</v>
          </cell>
          <cell r="G367" t="str">
            <v>https://www.google.com/maps/dir/Catamarca+Sur+664,+San+Juan/Escuela+de+Educaci%C3%B3n+Especial+Pocito,+Pocito,+San+Juan/Catamarca+Sur+664,+San+Juan/@-31.5965292,-68.630298,19738m/data=!3m2!1e3!4b1!4m20!4m19!1m5!1m1!1s0x9681402690dd76eb:0x4b283f8fe10ce3f3!2m2!1d-68.5293761!2d-31.5426363!1m5!1m1!1s0x96813e8daf64576b:0x65752aec963e50ea!2m2!1d-68.5821498!2d-31.6489669!1m5!1m1!1s0x9681402690dd76eb:0x4b283f8fe10ce3f3!2m2!1d-68.5293761!2d-31.5426363!3e0?entry=ttu&amp;g_ep=EgoyMDI1MDgxMy4wIKXMDSoASAFQAw%3D%3D</v>
          </cell>
          <cell r="H367">
            <v>36.6</v>
          </cell>
        </row>
        <row r="368">
          <cell r="D368" t="str">
            <v>0ACTBJFJB0000ZL</v>
          </cell>
          <cell r="E368" t="str">
            <v>Capital</v>
          </cell>
          <cell r="F368" t="str">
            <v>https://maps.app.goo.gl/pBKG9dobfuax8rfWA</v>
          </cell>
          <cell r="G368" t="str">
            <v>https://www.google.com/maps/dir/Catamarca+Sur+664,+San+Juan/E.E.E.+ARA+San+Juan+(S.A.R.M.),+J5402ECU,+Domingo+Faustino+Sarmiento+Sur+1001-1099,+J5402ECU+San+Juan/Catamarca+Sur+664,+San+Juan/@-31.544626,-68.534557,1234m/data=!3m2!1e3!4b1!4m20!4m19!1m5!1m1!1s0x9681402690dd76eb:0x4b283f8fe10ce3f3!2m2!1d-68.5293761!2d-31.5426363!1m5!1m1!1s0x96814021aac8fbd9:0xafdfb52e2af629c8!2m2!1d-68.5280374!2d-31.547306!1m5!1m1!1s0x9681402690dd76eb:0x4b283f8fe10ce3f3!2m2!1d-68.5293761!2d-31.5426363!3e0?entry=ttu&amp;g_ep=EgoyMDI1MDgxMy4wIKXMDSoASAFQAw%3D%3D</v>
          </cell>
          <cell r="H368">
            <v>1.7</v>
          </cell>
        </row>
        <row r="369">
          <cell r="D369" t="str">
            <v>0ACTBJFH90003CJ</v>
          </cell>
          <cell r="E369" t="str">
            <v>Albardon</v>
          </cell>
          <cell r="F369" t="str">
            <v>https://maps.app.goo.gl/aDpDMKtHiG9CLwW57</v>
          </cell>
          <cell r="G369" t="str">
            <v>https://www.google.com/maps/dir/Catamarca+Sur+664,+San+Juan/EEE+Hebe+Arce+Videla+de+Oro,+Albard%C3%B3n,+San+Juan/Catamarca+Sur+664,+San+Juan/@-31.4945163,-68.601825,19759m/data=!3m2!1e3!4b1!4m20!4m19!1m5!1m1!1s0x9681402690dd76eb:0x4b283f8fe10ce3f3!2m2!1d-68.5293761!2d-31.5426363!1m5!1m1!1s0x9681428225fd7e8d:0x2a87aecc7fdc8ff2!2m2!1d-68.5270329!2d-31.4343681!1m5!1m1!1s0x9681402690dd76eb:0x4b283f8fe10ce3f3!2m2!1d-68.5293761!2d-31.5426363!3e0?entry=ttu&amp;g_ep=EgoyMDI1MDgxMy4wIKXMDSoASAFQAw%3D%3D</v>
          </cell>
          <cell r="H369">
            <v>32.4</v>
          </cell>
        </row>
        <row r="370">
          <cell r="D370" t="str">
            <v>79G15N7</v>
          </cell>
          <cell r="E370" t="str">
            <v>Capital</v>
          </cell>
          <cell r="F370" t="str">
            <v>https://maps.app.goo.gl/6UyV2SS36ZR4Kop37</v>
          </cell>
          <cell r="G370" t="str">
            <v>https://www.google.com/maps/dir/Catamarca+Sur+664,+San+Juan/Dep%C3%B3sito+Central+Ministerio+de+Educaci%C3%B3n,+9+de+Julio+Este+1511,+J5411+Santa+Luc%C3%ADa,+San+Juan/Catamarca+Sur+664,+San+Juan/@-31.5475857,-68.5278046,2468m/data=!3m2!1e3!4b1!4m20!4m19!1m5!1m1!1s0x9681402690dd76eb:0x4b283f8fe10ce3f3!2m2!1d-68.5293761!2d-31.5426363!1m5!1m1!1s0x96816b6d54be3e89:0xf587aeb875b61e06!2m2!1d-68.5049362!2d-31.541596!1m5!1m1!1s0x9681402690dd76eb:0x4b283f8fe10ce3f3!2m2!1d-68.5293761!2d-31.5426363!3e0?entry=ttu&amp;g_ep=EgoyMDI1MDgxMy4wIKXMDSoASAFQAw%3D%3D</v>
          </cell>
          <cell r="H370">
            <v>7.2</v>
          </cell>
        </row>
        <row r="371">
          <cell r="D371" t="str">
            <v>ZELLBJEK300048V</v>
          </cell>
          <cell r="E371" t="str">
            <v>Pocito</v>
          </cell>
          <cell r="F371" t="str">
            <v>https://maps.google.com/maps?q=-31.8214006%2C-68.5292495&amp;z=17&amp;hl=es</v>
          </cell>
          <cell r="G371" t="str">
            <v>https://www.google.com/maps/dir/Catamarca+Sur+664,+San+Juan/Escuela+Pedro+de+Valdivia,+Ruta+40+y+calle+Bas%C3%A1%C3%B1ez+Zavalla+s%2Fn,+Carpinter%C3%ADa/Catamarca+Sur+664,+San+Juan/@-31.6811671,-68.7020632,39439m/data=!3m2!1e3!4b1!4m20!4m19!1m5!1m1!1s0x9681402690dd76eb:0x4b283f8fe10ce3f3!2m2!1d-68.5293761!2d-31.5426363!1m5!1m1!1s0x9681238a04a34c1d:0x9382b9cd51ec4845!2m2!1d-68.528792!2d-31.8216429!1m5!1m1!1s0x9681402690dd76eb:0x4b283f8fe10ce3f3!2m2!1d-68.5293761!2d-31.5426363!3e0?hl=es&amp;entry=ttu&amp;g_ep=EgoyMDI1MDczMC4wIKXMDSoASAFQAw%3D%3D</v>
          </cell>
          <cell r="H371">
            <v>68.5</v>
          </cell>
        </row>
        <row r="372">
          <cell r="D372" t="str">
            <v>ZELLBJFJA0002MZ</v>
          </cell>
          <cell r="E372" t="str">
            <v>Pocito</v>
          </cell>
          <cell r="F372" t="str">
            <v>https://maps.google.com/maps?q=-31.6486934%2C-68.5627243&amp;z=17&amp;hl=es</v>
          </cell>
          <cell r="G372" t="str">
            <v>https://www.google.com/maps/dir/Catamarca+Sur+664,+San+Juan/Escuela+Espa%C3%B1a,+RP7+217,+Villa+Aberastain,+San+Juan/Catamarca+Sur+664,+San+Juan/@-31.5965292,-68.6205935,19738m/data=!3m2!1e3!4b1!4m20!4m19!1m5!1m1!1s0x9681402690dd76eb:0x4b283f8fe10ce3f3!2m2!1d-68.5293761!2d-31.5426363!1m5!1m1!1s0x96813e65c80cb55b:0xee30e2238856ce66!2m2!1d-68.5627519!2d-31.6491711!1m5!1m1!1s0x9681402690dd76eb:0x4b283f8fe10ce3f3!2m2!1d-68.5293761!2d-31.5426363!3e0?hl=es&amp;entry=ttu&amp;g_ep=EgoyMDI1MDczMC4wIKXMDSoASAFQAw%3D%3D</v>
          </cell>
          <cell r="H372">
            <v>31.9</v>
          </cell>
        </row>
        <row r="373">
          <cell r="D373" t="str">
            <v>07QWB9UG3A006ZB</v>
          </cell>
          <cell r="E373" t="str">
            <v>Chimbas</v>
          </cell>
          <cell r="F373" t="str">
            <v>https://maps.google.com/maps?q=-31.4986433%2C-68.5704717&amp;z=17&amp;hl=es</v>
          </cell>
          <cell r="G373" t="str">
            <v>https://www.google.com/maps/dir/Catamarca+Sur+664,+San+Juan/Escuela+Isabel+Girones,+C.+Cipolletti+N+12,+J5413+Chimbas,+San+Juan/Catamarca+Sur+664,+San+Juan/@-31.5267725,-68.5907299,9876m/data=!3m2!1e3!4b1!4m20!4m19!1m5!1m1!1s0x9681402690dd76eb:0x4b283f8fe10ce3f3!2m2!1d-68.5293761!2d-31.5426363!1m5!1m1!1s0x96814183b6bbf3c1:0xfb3f4062454fc7f6!2m2!1d-68.5696733!2d-31.4986282!1m5!1m1!1s0x9681402690dd76eb:0x4b283f8fe10ce3f3!2m2!1d-68.5293761!2d-31.5426363!3e0?hl=es&amp;entry=ttu&amp;g_ep=EgoyMDI1MDczMC4wIKXMDSoASAFQAw%3D%3D</v>
          </cell>
          <cell r="H373">
            <v>18.899999999999999</v>
          </cell>
        </row>
        <row r="374">
          <cell r="D374" t="str">
            <v>ZELLBJFJA0002ZW</v>
          </cell>
          <cell r="E374" t="str">
            <v>Santa Lucia</v>
          </cell>
          <cell r="F374" t="str">
            <v>https://maps.google.com/maps?q=-31.5269812%2C-68.5059565&amp;z=17&amp;hl=es</v>
          </cell>
          <cell r="G374" t="str">
            <v>https://www.google.com/maps/dir/Catamarca+Sur+664,+San+Juan/Escuela+Amable+Jones,+F.+M.+Esqui%C3%BA+1402-1500,+J5400+Santa+Luc%C3%ADa,+San+Juan/Catamarca+Sur+664,+San+Juan/@-31.5411398,-68.5380516,4937m/data=!3m2!1e3!4b1!4m20!4m19!1m5!1m1!1s0x9681402690dd76eb:0x4b283f8fe10ce3f3!2m2!1d-68.5293761!2d-31.5426363!1m5!1m1!1s0x96816a8bdbcc4b51:0xd35d12133b2605e6!2m2!1d-68.5063977!2d-31.5274032!1m5!1m1!1s0x9681402690dd76eb:0x4b283f8fe10ce3f3!2m2!1d-68.5293761!2d-31.5426363!3e0?hl=es&amp;entry=ttu&amp;g_ep=EgoyMDI1MDczMC4wIKXMDSoASAFQAw%3D%3D</v>
          </cell>
          <cell r="H374">
            <v>10.199999999999999</v>
          </cell>
        </row>
        <row r="375">
          <cell r="D375" t="str">
            <v>ZELLBJFJA0003ZN</v>
          </cell>
          <cell r="E375" t="str">
            <v>Rivadavia</v>
          </cell>
          <cell r="F375" t="str">
            <v>https://maps.google.com/maps?q=-31.5256402%2C-68.6321618&amp;z=17&amp;hl=es</v>
          </cell>
          <cell r="G375" t="str">
            <v>https://www.google.com/maps/dir/Catamarca+Sur+664,+San+Juan/Escuela+Roque+Saenz+Pe%C3%B1a,+Av.+Libertador+Gral.+San+Mart%C3%ADn,+Rivadavia,+San+Juan/Catamarca+Sur+664,+San+Juan/@-31.533812,-68.6221852,9875m/data=!3m2!1e3!4b1!4m20!4m19!1m5!1m1!1s0x9681402690dd76eb:0x4b283f8fe10ce3f3!2m2!1d-68.5293761!2d-31.5426363!1m5!1m1!1s0x968146c571cfd03b:0xd185bb9768354a64!2m2!1d-68.6311891!2d-31.5260688!1m5!1m1!1s0x9681402690dd76eb:0x4b283f8fe10ce3f3!2m2!1d-68.5293761!2d-31.5426363!3e0?hl=es&amp;entry=ttu&amp;g_ep=EgoyMDI1MDczMC4wIKXMDSoASAFQAw%3D%3D</v>
          </cell>
          <cell r="H375">
            <v>22.4</v>
          </cell>
        </row>
        <row r="376">
          <cell r="D376" t="str">
            <v>076UBJFH20000FT</v>
          </cell>
          <cell r="E376" t="str">
            <v>Pocito</v>
          </cell>
          <cell r="F376" t="str">
            <v>https://maps.google.com/maps?q=-31.5983651%2C-68.5716745&amp;z=17&amp;hl=es</v>
          </cell>
          <cell r="G376" t="str">
            <v>https://www.google.com/maps/dir/Catamarca+Sur+664,+San+Juan/Gobernador+Eloy+Camus,+San+Juan/Catamarca+Sur+664,+San+Juan/@-31.5699983,-68.5915993,9872m/data=!3m2!1e3!4b1!4m20!4m19!1m5!1m1!1s0x9681402690dd76eb:0x4b283f8fe10ce3f3!2m2!1d-68.5293761!2d-31.5426363!1m5!1m1!1s0x96813f5f4dfc9c65:0x806cf8db3d2ce262!2m2!1d-68.5715282!2d-31.5982696!1m5!1m1!1s0x9681402690dd76eb:0x4b283f8fe10ce3f3!2m2!1d-68.5293761!2d-31.5426363!3e0?hl=es&amp;entry=ttu&amp;g_ep=EgoyMDI1MDczMC4wIKXMDSoASAFQAw%3D%3D</v>
          </cell>
          <cell r="H376">
            <v>18.5</v>
          </cell>
        </row>
        <row r="377">
          <cell r="D377" t="str">
            <v>0ACTBJFHB0000MD</v>
          </cell>
          <cell r="E377" t="str">
            <v>Sarmiento</v>
          </cell>
          <cell r="F377" t="str">
            <v>https://maps.google.com/maps?q=-31.982418%2C-68.427542&amp;z=17&amp;hl=es</v>
          </cell>
          <cell r="G377" t="str">
            <v>https://www.google.com/maps/dir/Catamarca+Sur+664,+San+Juan/Escuela+Nivel+Inicial+N%C2%B0+14+Alfonsina+Storni,+9+de+Julio,+J5435+Media+Agua,+San+Juan/Catamarca+Sur+664,+San+Juan/@-31.7611468,-68.8237701,78810m/data=!3m2!1e3!4b1!4m20!4m19!1m5!1m1!1s0x9681402690dd76eb:0x4b283f8fe10ce3f3!2m2!1d-68.5293761!2d-31.5426363!1m5!1m1!1s0x9680e3334bb439d7:0x5971ea86798db713!2m2!1d-68.427335!2d-31.9825265!1m5!1m1!1s0x9681402690dd76eb:0x4b283f8fe10ce3f3!2m2!1d-68.5293761!2d-31.5426363!3e0?hl=es&amp;entry=ttu&amp;g_ep=EgoyMDI1MDczMC4wIKXMDSoASAFQAw%3D%3D</v>
          </cell>
          <cell r="H377">
            <v>111</v>
          </cell>
        </row>
        <row r="378">
          <cell r="D378" t="str">
            <v>0ACTBJFJ90002WN</v>
          </cell>
          <cell r="E378" t="str">
            <v>Sarmiento</v>
          </cell>
          <cell r="F378" t="str">
            <v>https://maps.google.com/maps?q=-31.9559481%2C-68.6592899&amp;z=17&amp;hl=es</v>
          </cell>
          <cell r="G378" t="str">
            <v>https://www.google.com/maps/dir/Catamarca+Sur+664,+San+Juan/Escuela+De+Nivel+Secundario+Los+Berros,+Calle+del+Medio+S%2FN,+J5431+Los+Berros,+San+Juan/Catamarca+Sur+664,+San+Juan/@-31.762373,-68.8793868,78809m/data=!3m2!1e3!4b1!4m20!4m19!1m5!1m1!1s0x9681402690dd76eb:0x4b283f8fe10ce3f3!2m2!1d-68.5293761!2d-31.5426363!1m5!1m1!1s0x9680d88ee81e4a1d:0xfec9c0943663da6!2m2!1d-68.6599929!2d-31.9560697!1m5!1m1!1s0x9681402690dd76eb:0x4b283f8fe10ce3f3!2m2!1d-68.5293761!2d-31.5426363!3e0?hl=es&amp;entry=ttu&amp;g_ep=EgoyMDI1MDczMC4wIKXMDSoASAFQAw%3D%3D</v>
          </cell>
          <cell r="H378">
            <v>152</v>
          </cell>
        </row>
        <row r="379">
          <cell r="D379" t="str">
            <v>0ACTBJFJ500045R</v>
          </cell>
          <cell r="E379" t="str">
            <v>Sarmiento</v>
          </cell>
          <cell r="F379" t="str">
            <v>https://maps.google.com/maps?q=-31.9856755%2C-68.5488288&amp;z=17&amp;hl=es</v>
          </cell>
          <cell r="G379" t="str">
            <v>https://www.google.com/maps/dir/Catamarca+Sur+664,+San+Juan/Escuela+Dr+Albert+Einstein,+RP+318,+Ca%C3%B1ada+Honda,+San+Juan/Catamarca+Sur+664,+San+Juan/@-31.7624425,-68.8298241,78809m/data=!3m2!1e3!4b1!4m20!4m19!1m5!1m1!1s0x9681402690dd76eb:0x4b283f8fe10ce3f3!2m2!1d-68.5293761!2d-31.5426363!1m5!1m1!1s0x9680dfd347060dad:0x422f7bb38c50024a!2m2!1d-68.5487281!2d-31.9855765!1m5!1m1!1s0x9681402690dd76eb:0x4b283f8fe10ce3f3!2m2!1d-68.5293761!2d-31.5426363!3e0?hl=es&amp;entry=ttu&amp;g_ep=EgoyMDI1MDczMC4wIKXMDSoASAFQAw%3D%3D</v>
          </cell>
          <cell r="H379">
            <v>129</v>
          </cell>
        </row>
        <row r="380">
          <cell r="D380" t="str">
            <v>0ACTBJFJ500014M</v>
          </cell>
          <cell r="E380" t="str">
            <v>Sarmiento</v>
          </cell>
          <cell r="F380" t="str">
            <v>https://maps.google.com/maps?q=-32.01609%2C-68.444365&amp;z=17&amp;hl=es</v>
          </cell>
          <cell r="G380" t="str">
            <v>https://www.google.com/maps/dir/Catamarca+Sur+664,+San+Juan/-32.01609,-68.444365/Catamarca+Sur+664,+San+Juan/@-31.7836709,-68.8215243,78791m/data=!3m2!1e3!4b1!4m15!4m14!1m5!1m1!1s0x9681402690dd76eb:0x4b283f8fe10ce3f3!2m2!1d-68.5293761!2d-31.5426363!1m0!1m5!1m1!1s0x9681402690dd76eb:0x4b283f8fe10ce3f3!2m2!1d-68.5293761!2d-31.5426363!3e0?hl=es&amp;entry=ttu&amp;g_ep=EgoyMDI1MDczMC4wIKXMDSoASAFQAw%3D%3D</v>
          </cell>
          <cell r="H380">
            <v>121</v>
          </cell>
        </row>
        <row r="381">
          <cell r="D381" t="str">
            <v>0ACTBJFJ50002BD</v>
          </cell>
          <cell r="E381" t="str">
            <v>Sarmiento</v>
          </cell>
          <cell r="F381" t="str">
            <v>https://maps.google.com/maps?q=-31.9867319%2C-68.4232324&amp;z=17&amp;hl=es</v>
          </cell>
          <cell r="G381" t="str">
            <v>https://www.google.com/maps/dir/Catamarca+Sur+664,+San+Juan/Escuela+Saturnino+Segurola,+J5435+Media+Agua,+San+Juan/Catamarca+Sur+664,+San+Juan/@-31.762792,-68.8211946,78809m/data=!3m2!1e3!4b1!4m20!4m19!1m5!1m1!1s0x9681402690dd76eb:0x4b283f8fe10ce3f3!2m2!1d-68.5293761!2d-31.5426363!1m5!1m1!1s0x9680e3fe0697b153:0x2544094514a868f5!2m2!1d-68.4228584!2d-31.9862615!1m5!1m1!1s0x9681402690dd76eb:0x4b283f8fe10ce3f3!2m2!1d-68.5293761!2d-31.5426363!3e0?hl=es&amp;entry=ttu&amp;g_ep=EgoyMDI1MDczMC4wIKXMDSoASAFQAw%3D%3D</v>
          </cell>
          <cell r="H381">
            <v>112</v>
          </cell>
        </row>
        <row r="382">
          <cell r="D382" t="str">
            <v>0ACTBJFJ90000KR</v>
          </cell>
          <cell r="E382" t="str">
            <v>Chimbas</v>
          </cell>
          <cell r="F382" t="str">
            <v>https://maps.app.goo.gl/wLjU3mMpQqreMYAQ7</v>
          </cell>
          <cell r="G382" t="str">
            <v>https://www.google.com/maps/dir/Catamarca+Sur+664,+San+Juan/-31.5136111,-68.6136944/Catamarca+Sur+664,+San+Juan/@-31.5292737,-68.6145163,9876m/data=!3m2!1e3!4b1!4m15!4m14!1m5!1m1!1s0x9681402690dd76eb:0x4b283f8fe10ce3f3!2m2!1d-68.5293761!2d-31.5426363!1m0!1m5!1m1!1s0x9681402690dd76eb:0x4b283f8fe10ce3f3!2m2!1d-68.5293761!2d-31.5426363!3e0?entry=ttu&amp;g_ep=EgoyMDI1MDczMC4wIKXMDSoASAFQAw%3D%3D</v>
          </cell>
          <cell r="H382">
            <v>22.2</v>
          </cell>
        </row>
        <row r="383">
          <cell r="D383" t="str">
            <v>0ACTBJFK400003T</v>
          </cell>
          <cell r="E383" t="str">
            <v>Rawson</v>
          </cell>
          <cell r="F383" t="str">
            <v>https://maps.google.com/maps?q=-31.571972%2C-68.5748737&amp;z=17&amp;hl=es</v>
          </cell>
          <cell r="G383" t="str">
            <v>https://www.google.com/maps/dir/Catamarca+Sur+664,+San+Juan/Escuela+Barrio+Franklin+Rawson,+Rawson,+San+Juan/Catamarca+Sur+664,+San+Juan/@-31.5608925,-68.572251,4936m/data=!3m2!1e3!4b1!4m20!4m19!1m5!1m1!1s0x9681402690dd76eb:0x4b283f8fe10ce3f3!2m2!1d-68.5293761!2d-31.5426363!1m5!1m1!1s0x96814087030d1a2d:0xb698d111b66aa11b!2m2!1d-68.5751883!2d-31.5718985!1m5!1m1!1s0x9681402690dd76eb:0x4b283f8fe10ce3f3!2m2!1d-68.5293761!2d-31.5426363!3e0?hl=es&amp;entry=ttu&amp;g_ep=EgoyMDI1MDczMC4wIKXMDSoASAFQAw%3D%3D</v>
          </cell>
          <cell r="H383">
            <v>15.7</v>
          </cell>
        </row>
        <row r="384">
          <cell r="D384" t="str">
            <v>0ACTBJFJ500016F</v>
          </cell>
          <cell r="E384" t="str">
            <v>Caucete</v>
          </cell>
          <cell r="F384" t="str">
            <v>https://maps.google.com/maps?q=-31.6785639%2C-68.2314737&amp;z=17&amp;hl=es</v>
          </cell>
          <cell r="G384" t="str">
            <v>https://www.google.com/maps/dir/Catamarca+Sur+664,+San+Juan/Escuela+Juan+de+Dios+Flores,+Crist%C3%B3bal+Col%C3%B3n,+Los+Algarrobos,+San+Juan/Catamarca+Sur+664,+San+Juan/@-31.6101905,-68.5402738,39469m/data=!3m2!1e3!4b1!4m20!4m19!1m5!1m1!1s0x9681402690dd76eb:0x4b283f8fe10ce3f3!2m2!1d-68.5293761!2d-31.5426363!1m5!1m1!1s0x968109cf6c5a9c85:0xbd1b9624a4093b50!2m2!1d-68.2311015!2d-31.6786926!1m5!1m1!1s0x9681402690dd76eb:0x4b283f8fe10ce3f3!2m2!1d-68.5293761!2d-31.5426363!3e0?hl=es&amp;entry=ttu&amp;g_ep=EgoyMDI1MDczMC4wIKXMDSoASAFQAw%3D%3D</v>
          </cell>
          <cell r="H384">
            <v>76.599999999999994</v>
          </cell>
        </row>
        <row r="385">
          <cell r="D385" t="str">
            <v>ZELLBJFJA0000AY</v>
          </cell>
          <cell r="E385" t="str">
            <v>Rawson</v>
          </cell>
          <cell r="F385" t="str">
            <v>https://maps.google.com/maps?q=-31.5774911%2C-68.4818664&amp;z=17&amp;hl=es</v>
          </cell>
          <cell r="G385" t="str">
            <v>https://www.google.com/maps/dir/Catamarca+Sur+664,+San+Juan/-31.5774911,-68.4818664/Catamarca+Sur+664,+San+Juan/@-31.559593,-68.5265568,4936m/data=!3m2!1e3!4b1!4m15!4m14!1m5!1m1!1s0x9681402690dd76eb:0x4b283f8fe10ce3f3!2m2!1d-68.5293761!2d-31.5426363!1m0!1m5!1m1!1s0x9681402690dd76eb:0x4b283f8fe10ce3f3!2m2!1d-68.5293761!2d-31.5426363!3e0?hl=es&amp;entry=ttu&amp;g_ep=EgoyMDI1MDczMC4wIKXMDSoASAFQAw%3D%3D</v>
          </cell>
          <cell r="H385">
            <v>15</v>
          </cell>
        </row>
        <row r="386">
          <cell r="D386" t="str">
            <v>0ACTBJFK0000TF</v>
          </cell>
          <cell r="E386" t="str">
            <v>Rivadavia</v>
          </cell>
          <cell r="F386" t="str">
            <v>https://maps.google.com/maps?q=-31.5521981%2C-68.5505031&amp;z=17&amp;hl=es</v>
          </cell>
          <cell r="G386" t="str">
            <v>https://www.google.com/maps/dir/Catamarca+Sur+664,+San+Juan/Escuela+Provincia+De+Mendoza,+Urquiza+1976,+J5402+Rivadavia,+San+Juan/Catamarca+Sur+664,+San+Juan/@-31.5475286,-68.5513891,2468m/data=!3m2!1e3!4b1!4m20!4m19!1m5!1m1!1s0x9681402690dd76eb:0x4b283f8fe10ce3f3!2m2!1d-68.5293761!2d-31.5426363!1m5!1m1!1s0x9681404042189e5d:0x289637e2ee4c4c00!2m2!1d-68.5496163!2d-31.5518238!1m5!1m1!1s0x9681402690dd76eb:0x4b283f8fe10ce3f3!2m2!1d-68.5293761!2d-31.5426363!3e0?hl=es&amp;entry=ttu&amp;g_ep=EgoyMDI1MDczMC4wIKXMDSoASAFQAw%3D%3D</v>
          </cell>
          <cell r="H386">
            <v>6.9</v>
          </cell>
        </row>
        <row r="387">
          <cell r="D387" t="str">
            <v>ZELLBJFK9000KCD</v>
          </cell>
          <cell r="E387" t="str">
            <v>Caucete</v>
          </cell>
          <cell r="F387" t="str">
            <v>https://maps.google.com/maps?q=-31.6576035%2C-68.2750079&amp;z=17&amp;hl=es</v>
          </cell>
          <cell r="G387" t="str">
            <v>https://www.google.com/maps/dir/Catamarca+Sur+664,+San+Juan/Esc+Manuel+P.+Antequeda,+J5442+Caucete,+San+Juan/Catamarca+Sur+664,+San+Juan/@-31.5999202,-68.4851451,19737m/data=!3m2!1e3!4b1!4m20!4m19!1m5!1m1!1s0x9681402690dd76eb:0x4b283f8fe10ce3f3!2m2!1d-68.5293761!2d-31.5426363!1m5!1m1!1s0x96810f02b764b801:0xfb642b5bf58d4b45!2m2!1d-68.2748654!2d-31.6579655!1m5!1m1!1s0x9681402690dd76eb:0x4b283f8fe10ce3f3!2m2!1d-68.5293761!2d-31.5426363!3e0?hl=es&amp;entry=ttu&amp;g_ep=EgoyMDI1MDczMC4wIKXMDSoASAFQAw%3D%3D</v>
          </cell>
          <cell r="H387">
            <v>61.2</v>
          </cell>
        </row>
        <row r="388">
          <cell r="D388" t="str">
            <v>0ACTBJFK200026V</v>
          </cell>
          <cell r="E388" t="str">
            <v>Sarmiento</v>
          </cell>
          <cell r="F388" t="str">
            <v>https://maps.app.goo.gl/BJv7LgKofTUGv5vy8</v>
          </cell>
          <cell r="G388" t="str">
            <v>https://www.google.com/maps/dir/Catamarca+Sur+664,+San+Juan/E.E.E.+Cristo+de+la+Quebrada+(Ex+M%C3%BAltiple+Los+Berros),+5425+CALLE+CHUBUT+S%2FN,+J5425+Los+Berros,+San+Juan/Catamarca+Sur+664,+San+Juan/@-31.762373,-68.8773236,78809m/data=!3m2!1e3!4b1!4m20!4m19!1m5!1m1!1s0x9681402690dd76eb:0x4b283f8fe10ce3f3!2m2!1d-68.5293761!2d-31.5426363!1m5!1m1!1s0x9680d9a64ebc1369:0x2f95fb516111c431!2m2!1d-68.6558152!2d-31.9527322!1m5!1m1!1s0x9681402690dd76eb:0x4b283f8fe10ce3f3!2m2!1d-68.5293761!2d-31.5426363!3e0?hl=es&amp;entry=ttu&amp;g_ep=EgoyMDI1MDczMC4wIKXMDSoASAFQAw%3D%3D</v>
          </cell>
          <cell r="H388">
            <v>151</v>
          </cell>
        </row>
        <row r="389">
          <cell r="D389" t="str">
            <v>076UBJFH100031Y</v>
          </cell>
          <cell r="E389" t="str">
            <v>Rawson</v>
          </cell>
          <cell r="F389" t="str">
            <v>https://maps.google.com/maps?q=-31.5851464%2C-68.5435249&amp;z=17&amp;hl=es</v>
          </cell>
          <cell r="G389" t="str">
            <v>https://www.google.com/maps/dir/Catamarca+Sur+664,+San+Juan/Escuela+Mercedes+San+Martin+de+Balcarce,+Ezpeleta+Oeste+550,+J5425+Villa+Krause,+San+Juan/Catamarca+Sur+664,+San+Juan/@-31.563371,-68.5803058,9872m/data=!3m2!1e3!4b1!4m20!4m19!1m5!1m1!1s0x9681402690dd76eb:0x4b283f8fe10ce3f3!2m2!1d-68.5293761!2d-31.5426363!1m5!1m1!1s0x96813fbca5bef421:0xf1110629af1b2b6!2m2!1d-68.5433658!2d-31.5850836!1m5!1m1!1s0x9681402690dd76eb:0x4b283f8fe10ce3f3!2m2!1d-68.5293761!2d-31.5426363!3e0?hl=es&amp;entry=ttu&amp;g_ep=EgoyMDI1MDczMC4wIKXMDSoASAFQAw%3D%3D</v>
          </cell>
          <cell r="H389">
            <v>12.7</v>
          </cell>
        </row>
        <row r="390">
          <cell r="D390" t="str">
            <v>076UBJFGC00014V</v>
          </cell>
          <cell r="E390" t="str">
            <v>Rawson</v>
          </cell>
          <cell r="F390" t="str">
            <v>https://maps.google.com/maps?q=-31.5722934%2C-68.5330144&amp;z=17&amp;hl=es</v>
          </cell>
          <cell r="G390" t="str">
            <v>https://www.google.com/maps/dir/Catamarca+Sur+664,+San+Juan/-31.5722934,-68.5330144/Catamarca+Sur+664,+San+Juan/@-31.5573234,-68.5498186,4936m/data=!3m2!1e3!4b1!4m15!4m14!1m5!1m1!1s0x9681402690dd76eb:0x4b283f8fe10ce3f3!2m2!1d-68.5293761!2d-31.5426363!1m0!1m5!1m1!1s0x9681402690dd76eb:0x4b283f8fe10ce3f3!2m2!1d-68.5293761!2d-31.5426363!3e0?hl=es&amp;entry=ttu&amp;g_ep=EgoyMDI1MDczMC4wIKXMDSoASAFQAw%3D%3D</v>
          </cell>
          <cell r="H390">
            <v>8.4</v>
          </cell>
        </row>
        <row r="391">
          <cell r="D391" t="str">
            <v>076UBJFH10000JA</v>
          </cell>
          <cell r="E391" t="str">
            <v>Rawson</v>
          </cell>
          <cell r="F391" t="str">
            <v>https://maps.google.com/maps?q=-31.6843543%2C-68.4811875&amp;z=17&amp;hl=es</v>
          </cell>
          <cell r="G391" t="str">
            <v>https://www.google.com/maps/dir/Catamarca+Sur+664,+San+Juan/Escuela+Rosario+Vera+Pe%C3%B1aloza,+San+Juan/Catamarca+Sur+664,+San+Juan/@-31.6128135,-68.5942651,19734m/data=!3m2!1e3!4b1!4m20!4m19!1m5!1m1!1s0x9681402690dd76eb:0x4b283f8fe10ce3f3!2m2!1d-68.5293761!2d-31.5426363!1m5!1m1!1s0x9681165713feec2d:0x7e0720ad58c07548!2m2!1d-68.4811011!2d-31.6841293!1m5!1m1!1s0x9681402690dd76eb:0x4b283f8fe10ce3f3!2m2!1d-68.5293761!2d-31.5426363!3e0?hl=es&amp;entry=ttu&amp;g_ep=EgoyMDI1MDczMC4wIKXMDSoASAFQAw%3D%3D</v>
          </cell>
          <cell r="H391">
            <v>42.7</v>
          </cell>
        </row>
        <row r="392">
          <cell r="D392" t="str">
            <v>076UBJFH10008KL</v>
          </cell>
          <cell r="E392" t="str">
            <v>Rawson</v>
          </cell>
          <cell r="F392" t="str">
            <v>https://maps.google.com/maps?q=-31.5489661%2C-68.5892886&amp;z=17&amp;hl=es</v>
          </cell>
          <cell r="G392" t="str">
            <v>https://www.google.com/maps/dir/Catamarca+Sur+664,+San+Juan/Escuela+Cruce+De+Los+Andes,+Rep%C3%BAblica+del+L%C3%ADbano+Oeste,+J5400+Rivadavia,+San+Juan/Catamarca+Sur+664,+San+Juan/@-31.5475271,-68.5803723,4937m/data=!3m2!1e3!4b1!4m20!4m19!1m5!1m1!1s0x9681402690dd76eb:0x4b283f8fe10ce3f3!2m2!1d-68.5293761!2d-31.5426363!1m5!1m1!1s0x968140e5f9383b8d:0xe033e7cce8a6869e!2m2!1d-68.5901109!2d-31.5489472!1m5!1m1!1s0x9681402690dd76eb:0x4b283f8fe10ce3f3!2m2!1d-68.5293761!2d-31.5426363!3e0?hl=es&amp;entry=ttu&amp;g_ep=EgoyMDI1MDczMC4wIKXMDSoASAFQAw%3D%3D</v>
          </cell>
          <cell r="H392">
            <v>15.5</v>
          </cell>
        </row>
        <row r="393">
          <cell r="D393" t="str">
            <v>076UBJFH200073M</v>
          </cell>
          <cell r="E393" t="str">
            <v>Rivadavia</v>
          </cell>
          <cell r="F393" t="str">
            <v>https://maps.google.com/maps?q=-31.5518275%2C-68.5495042&amp;z=17&amp;hl=es</v>
          </cell>
          <cell r="G393" t="str">
            <v>https://www.google.com/maps/dir/Catamarca+Sur+664,+San+Juan/Escuela+Provincia+De+Mendoza,+Urquiza+1976,+J5402+Rivadavia,+San+Juan/Catamarca+Sur+664,+San+Juan/@-31.5475286,-68.5513891,2468m/data=!3m2!1e3!4b1!4m20!4m19!1m5!1m1!1s0x9681402690dd76eb:0x4b283f8fe10ce3f3!2m2!1d-68.5293761!2d-31.5426363!1m5!1m1!1s0x9681404042189e5d:0x289637e2ee4c4c00!2m2!1d-68.5496163!2d-31.5518238!1m5!1m1!1s0x9681402690dd76eb:0x4b283f8fe10ce3f3!2m2!1d-68.5293761!2d-31.5426363!3e0?hl=es&amp;entry=ttu&amp;g_ep=EgoyMDI1MDczMC4wIKXMDSoASAFQAw%3D%3D</v>
          </cell>
          <cell r="H393">
            <v>6.9</v>
          </cell>
        </row>
        <row r="394">
          <cell r="D394" t="str">
            <v>ZELLBJFK200077D</v>
          </cell>
          <cell r="E394" t="str">
            <v>Rawson</v>
          </cell>
          <cell r="F394" t="str">
            <v>https://maps.google.com/maps?q=-31.5851593%2C-68.5441486&amp;z=17&amp;hl=es</v>
          </cell>
          <cell r="G394" t="str">
            <v>https://www.google.com/maps/dir/Catamarca+Sur+664,+San+Juan/Escuela+de+Nivel+Inicial+E.N.I.+N%C2%BA+12+Teltanti+Yu,+Ezpeleta+Oeste+570,+J5425+Villa+Krause,+San+Juan/Catamarca+Sur+664,+San+Juan/@-31.5633001,-68.5803058,9872m/data=!3m2!1e3!4b1!4m20!4m19!1m5!1m1!1s0x9681402690dd76eb:0x4b283f8fe10ce3f3!2m2!1d-68.5293761!2d-31.5426363!1m5!1m1!1s0x96813fedf3e2d397:0xfcf61094c2310512!2m2!1d-68.5439204!2d-31.5849969!1m5!1m1!1s0x9681402690dd76eb:0x4b283f8fe10ce3f3!2m2!1d-68.5293761!2d-31.5426363!3e0?hl=es&amp;entry=ttu&amp;g_ep=EgoyMDI1MDczMC4wIKXMDSoASAFQAw%3D%3D</v>
          </cell>
          <cell r="H394">
            <v>12.6</v>
          </cell>
        </row>
        <row r="395">
          <cell r="D395" t="str">
            <v>ZELLBJFJB0007MW</v>
          </cell>
          <cell r="E395" t="str">
            <v>Rawson</v>
          </cell>
          <cell r="F395" t="str">
            <v>https://maps.google.com/maps?q=-31.5656553%2C-68.539699&amp;z=17&amp;hl=es</v>
          </cell>
          <cell r="G395" t="str">
            <v>https://www.google.com/maps/dir/Catamarca+Sur+664,+San+Juan/ENI+N%C2%B0+11+Marta+Gimenez+Pastor,+Yapey%C3%BA,+J5425+Villa+Krause,+San+Juan/Catamarca+Sur+664,+San+Juan/@-31.5536263,-68.5562064,4937m/data=!3m2!1e3!4b1!4m20!4m19!1m5!1m1!1s0x9681402690dd76eb:0x4b283f8fe10ce3f3!2m2!1d-68.5293761!2d-31.5426363!1m5!1m1!1s0x9681400eddad5d1d:0xb28dbd3738e45dd0!2m2!1d-68.5395777!2d-31.5655489!1m5!1m1!1s0x9681402690dd76eb:0x4b283f8fe10ce3f3!2m2!1d-68.5293761!2d-31.5426363!3e0?hl=es&amp;entry=ttu&amp;g_ep=EgoyMDI1MDczMC4wIKXMDSoASAFQAw%3D%3D</v>
          </cell>
          <cell r="H395">
            <v>7.5</v>
          </cell>
        </row>
        <row r="396">
          <cell r="D396" t="str">
            <v>076UBJFH60001EA</v>
          </cell>
          <cell r="E396" t="str">
            <v>Caucete</v>
          </cell>
          <cell r="F396" t="str">
            <v>https://maps.google.com/maps?q=-31.6454525%2C-68.2899999&amp;z=17&amp;hl=es</v>
          </cell>
          <cell r="G396" t="str">
            <v>https://www.google.com/maps/dir/Catamarca+Sur+664,+San+Juan/E.P.E.T.+N%C2%B0+1+Caucete,+J5442+Caucete,+San+Juan/Catamarca+Sur+664,+San+Juan/@-31.5933052,-68.4912887,19738m/data=!3m2!1e3!4b1!4m20!4m19!1m5!1m1!1s0x9681402690dd76eb:0x4b283f8fe10ce3f3!2m2!1d-68.5293761!2d-31.5426363!1m5!1m1!1s0x96810e59058a3715:0x6b8ffc5005f94074!2m2!1d-68.2900468!2d-31.6453875!1m5!1m1!1s0x9681402690dd76eb:0x4b283f8fe10ce3f3!2m2!1d-68.5293761!2d-31.5426363!3e0?hl=es&amp;entry=ttu&amp;g_ep=EgoyMDI1MDczMC4wIKXMDSoASAFQAw%3D%3D</v>
          </cell>
          <cell r="H396">
            <v>57.9</v>
          </cell>
        </row>
        <row r="397">
          <cell r="D397" t="str">
            <v>076UBJFH300014H</v>
          </cell>
          <cell r="E397" t="str">
            <v>CALINGASTA</v>
          </cell>
          <cell r="F397" t="str">
            <v>https://maps.google.com/maps?q=-31.6501771%2C-69.4739108&amp;z=17&amp;hl=es</v>
          </cell>
          <cell r="G397" t="str">
            <v>https://www.google.com/maps/dir/Catamarca+Sur+664,+San+Juan/Escuela+Juan+Pedro+Esnaola,+San+Martin,+J5405+Calingasta,+San+Juan/Catamarca+Sur+664,+San+Juan/@-31.3168764,-69.3230471,79186m/data=!3m1!1e3!4m20!4m19!1m5!1m1!1s0x9681402690dd76eb:0x4b283f8fe10ce3f3!2m2!1d-68.5293761!2d-31.5426363!1m5!1m1!1s0x9686934c786f1745:0xcc1c2e3b34bce5c5!2m2!1d-69.4740209!2d-31.6500625!1m5!1m1!1s0x9681402690dd76eb:0x4b283f8fe10ce3f3!2m2!1d-68.5293761!2d-31.5426363!3e0?hl=es&amp;entry=ttu&amp;g_ep=EgoyMDI1MDczMC4wIKXMDSoASAFQAw%3D%3D</v>
          </cell>
          <cell r="H397">
            <v>427</v>
          </cell>
        </row>
        <row r="398">
          <cell r="D398" t="str">
            <v>0ACTBJFJ50000CR</v>
          </cell>
          <cell r="E398" t="str">
            <v>Calingasta</v>
          </cell>
          <cell r="F398" t="str">
            <v>https://maps.google.com/maps?q=-31.0547443%2C-69.4935238&amp;z=17&amp;hl=es</v>
          </cell>
          <cell r="G398" t="str">
            <v>https://www.google.com/maps/dir/Catamarca+Sur+664,+San+Juan/Escuela+Albergue+Teniente+Coronel+Alvarez+Condarco,+RP412,+Villa+Nueva,+Calingasta,+San+Juan/Catamarca+Sur+664,+San+Juan/@-31.2691944,-69.3311569,79226m/data=!3m2!1e3!4b1!4m20!4m19!1m5!1m1!1s0x9681402690dd76eb:0x4b283f8fe10ce3f3!2m2!1d-68.5293761!2d-31.5426363!1m5!1m1!1s0x9684379660af0faf:0x50ff0dad7d3b8cf9!2m2!1d-69.4938014!2d-31.0545575!1m5!1m1!1s0x9681402690dd76eb:0x4b283f8fe10ce3f3!2m2!1d-68.5293761!2d-31.5426363!3e0?hl=es&amp;entry=ttu&amp;g_ep=EgoyMDI1MDczMC4wIKXMDSoASAFQAw%3D%3D</v>
          </cell>
          <cell r="H398">
            <v>423</v>
          </cell>
        </row>
        <row r="399">
          <cell r="D399" t="str">
            <v>0ACTBJFJ40003YN</v>
          </cell>
          <cell r="E399" t="str">
            <v>Calingasta</v>
          </cell>
          <cell r="F399" t="str">
            <v>https://maps.google.com/maps?q=-31.6648119%2C-69.4826503&amp;z=17&amp;hl=es</v>
          </cell>
          <cell r="G399" t="str">
            <v>https://www.google.com/maps/dir/Catamarca+Sur+664,+San+Juan/Escuela+Saturnino+S.+Araoz,+Huarpes,+Barrial,+San+Juan/Catamarca+Sur+664,+San+Juan/@-31.3222735,-69.6522256,158364m/data=!3m2!1e3!4b1!4m20!4m19!1m5!1m1!1s0x9681402690dd76eb:0x4b283f8fe10ce3f3!2m2!1d-68.5293761!2d-31.5426363!1m5!1m1!1s0x96868d0fbf4b94c9:0xd0698fe3b282fc38!2m2!1d-69.4823816!2d-31.6645629!1m5!1m1!1s0x9681402690dd76eb:0x4b283f8fe10ce3f3!2m2!1d-68.5293761!2d-31.5426363!3e0?hl=es&amp;entry=ttu&amp;g_ep=EgoyMDI1MDczMC4wIKXMDSoASAFQAw%3D%3D</v>
          </cell>
          <cell r="H399">
            <v>431</v>
          </cell>
        </row>
        <row r="400">
          <cell r="D400" t="str">
            <v>0ACTBJFJ90003BB</v>
          </cell>
          <cell r="E400" t="str">
            <v>Calingasta</v>
          </cell>
          <cell r="F400" t="str">
            <v>https://maps.google.com/maps?q=-31.6545099%2C-69.4773236&amp;z=17&amp;hl=es</v>
          </cell>
          <cell r="G400" t="str">
            <v>https://www.google.com/maps/dir/Catamarca+Sur+664,+San+Juan/Colegio+Secundario+Barreal,+J5405,+San+Juan/Catamarca+Sur+664,+San+Juan/@-31.3171473,-69.6498002,158372m/data=!3m2!1e3!4b1!4m20!4m19!1m5!1m1!1s0x9681402690dd76eb:0x4b283f8fe10ce3f3!2m2!1d-68.5293761!2d-31.5426363!1m5!1m1!1s0x9686932fcb5fafa5:0x31a74d943d6c162a!2m2!1d-69.4771245!2d-31.6546157!1m5!1m1!1s0x9681402690dd76eb:0x4b283f8fe10ce3f3!2m2!1d-68.5293761!2d-31.5426363!3e0?hl=es&amp;entry=ttu&amp;g_ep=EgoyMDI1MDczMC4wIKXMDSoASAFQAw%3D%3D</v>
          </cell>
          <cell r="H400">
            <v>428</v>
          </cell>
        </row>
        <row r="401">
          <cell r="D401" t="str">
            <v>0ACTBJFK20004HH</v>
          </cell>
          <cell r="E401" t="str">
            <v>Calingasta</v>
          </cell>
          <cell r="F401" t="str">
            <v>https://maps.google.com/maps?q=-31.7049933%2C-69.4922717&amp;z=17&amp;hl=es</v>
          </cell>
          <cell r="G401" t="str">
            <v>https://www.google.com/maps/dir/Catamarca+Sur+664,+San+Juan/Escuela+Jos%C3%A9+Clemente+Sarmiento,+Las+Hornillas,+Calingasta,+Barreal,+San+Juan/Catamarca+Sur+664,+San+Juan/@-31.3448891,-69.6572487,158326m/data=!3m2!1e3!4b1!4m20!4m19!1m5!1m1!1s0x9681402690dd76eb:0x4b283f8fe10ce3f3!2m2!1d-68.5293761!2d-31.5426363!1m5!1m1!1s0x96868d838c4ce535:0x504a8c8b97cc9f06!2m2!1d-69.492428!2d-31.7051045!1m5!1m1!1s0x9681402690dd76eb:0x4b283f8fe10ce3f3!2m2!1d-68.5293761!2d-31.5426363!3e0?hl=es&amp;entry=ttu&amp;g_ep=EgoyMDI1MDczMC4wIKXMDSoASAFQAw%3D%3D</v>
          </cell>
          <cell r="H401">
            <v>443</v>
          </cell>
        </row>
        <row r="402">
          <cell r="D402" t="str">
            <v>0ACTBJFJ50001VA</v>
          </cell>
          <cell r="E402" t="str">
            <v>Calingasta</v>
          </cell>
          <cell r="F402" t="str">
            <v>https://maps.google.com/maps?q=-31.664953%2C-69.4823315&amp;z=17&amp;hl=es</v>
          </cell>
          <cell r="G402" t="str">
            <v>https://www.google.com/maps/dir/Catamarca+Sur+664,+San+Juan/Escuela+La+Capilla,+J5405+Calingasta,+San+Juan/Catamarca+Sur+664,+San+Juan/@-31.322289,-69.6522804,158364m/data=!3m2!1e3!4b1!4m20!4m19!1m5!1m1!1s0x9681402690dd76eb:0x4b283f8fe10ce3f3!2m2!1d-68.5293761!2d-31.5426363!1m5!1m1!1s0x96868df43944d49d:0xf68978c28a0c8946!2m2!1d-69.4824912!2d-31.6648973!1m5!1m1!1s0x9681402690dd76eb:0x4b283f8fe10ce3f3!2m2!1d-68.5293761!2d-31.5426363!3e0?hl=es&amp;entry=ttu&amp;g_ep=EgoyMDI1MDczMC4wIKXMDSoASAFQAw%3D%3D</v>
          </cell>
          <cell r="H402">
            <v>431</v>
          </cell>
        </row>
        <row r="403">
          <cell r="D403" t="str">
            <v>0ACTBJFK20008NF</v>
          </cell>
          <cell r="E403" t="str">
            <v>Calingasta</v>
          </cell>
          <cell r="F403" t="str">
            <v>https://maps.google.com/maps?q=-31.3340367%2C-69.4244333&amp;z=17&amp;hl=es</v>
          </cell>
          <cell r="G403" t="str">
            <v>https://www.google.com/maps/dir/Catamarca+Sur+664,+San+Juan/Escuela+La+Capilla,+J5405+Calingasta,+San+Juan/Catamarca+Sur+664,+San+Juan/@-31.322289,-69.6522804,158364m/data=!3m2!1e3!4b1!4m20!4m19!1m5!1m1!1s0x9681402690dd76eb:0x4b283f8fe10ce3f3!2m2!1d-68.5293761!2d-31.5426363!1m5!1m1!1s0x96868df43944d49d:0xf68978c28a0c8946!2m2!1d-69.4824912!2d-31.6648973!1m5!1m1!1s0x9681402690dd76eb:0x4b283f8fe10ce3f3!2m2!1d-68.5293761!2d-31.5426363!3e0?hl=es&amp;entry=ttu&amp;g_ep=EgoyMDI1MDczMC4wIKXMDSoASAFQAw%3D%3D</v>
          </cell>
          <cell r="H403">
            <v>431</v>
          </cell>
        </row>
        <row r="404">
          <cell r="D404" t="str">
            <v>076UBJFH10007VV</v>
          </cell>
          <cell r="E404" t="str">
            <v>Calingasta</v>
          </cell>
          <cell r="F404" t="str">
            <v>https://maps.google.com/maps?q=-31.6225801%2C-69.4652618&amp;z=17&amp;hl=es</v>
          </cell>
          <cell r="G404" t="str">
            <v>https://www.google.com/maps/dir/Catamarca+Sur+664,+San+Juan/Escuela+Mart%C3%ADn+Gil,+RN149,+Barreal,+San+Juan/Catamarca+Sur+664,+San+Juan/@-31.3029419,-69.3141456,79198m/data=!3m2!1e3!4b1!4m20!4m19!1m5!1m1!1s0x9681402690dd76eb:0x4b283f8fe10ce3f3!2m2!1d-68.5293761!2d-31.5426363!1m5!1m1!1s0x968691adf26895e1:0xe0180ed349374854!2m2!1d-69.4658314!2d-31.6225004!1m5!1m1!1s0x9681402690dd76eb:0x4b283f8fe10ce3f3!2m2!1d-68.5293761!2d-31.5426363!3e0?hl=es&amp;entry=ttu&amp;g_ep=EgoyMDI1MDczMC4wIKXMDSoASAFQAw%3D%3D</v>
          </cell>
          <cell r="H404">
            <v>420</v>
          </cell>
        </row>
        <row r="405">
          <cell r="D405" t="str">
            <v>0ACTBJFH900018Z</v>
          </cell>
          <cell r="E405" t="str">
            <v>Calingasta</v>
          </cell>
          <cell r="F405" t="str">
            <v>https://maps.google.com/maps?q=-31.3114356%2C-69.4125126&amp;z=17&amp;hl=es</v>
          </cell>
          <cell r="G405" t="str">
            <v>https://www.google.com/maps/dir/Catamarca+Sur+664,+San+Juan/-31.3114356,-69.4125126/Catamarca+Sur+664,+San+Juan/@-31.2653227,-69.2922754,79230m/data=!3m1!1e3!4m15!4m14!1m5!1m1!1s0x9681402690dd76eb:0x4b283f8fe10ce3f3!2m2!1d-68.5293761!2d-31.5426363!1m0!1m5!1m1!1s0x9681402690dd76eb:0x4b283f8fe10ce3f3!2m2!1d-68.5293761!2d-31.5426363!3e0?hl=es&amp;entry=ttu&amp;g_ep=EgoyMDI1MDczMC4wIKXMDSoASAFQAw%3D%3D</v>
          </cell>
          <cell r="H405">
            <v>345</v>
          </cell>
        </row>
        <row r="406">
          <cell r="D406" t="str">
            <v>0ACTBJFH900032R</v>
          </cell>
          <cell r="E406" t="str">
            <v>Calingasta</v>
          </cell>
          <cell r="F406" t="str">
            <v>https://maps.google.com/maps?q=-31.4785283%2C-69.4024133&amp;z=17&amp;hl=es</v>
          </cell>
          <cell r="G406" t="str">
            <v>https://www.google.com/maps/dir/Catamarca+Sur+664,+San+Juan/Escuela+Batalla+de+Chacabuco,+RN149,+San+Juan/Catamarca+Sur+664,+San+Juan/@-31.2691944,-69.2896588,79226m/data=!3m2!1e3!4b1!4m20!4m19!1m5!1m1!1s0x9681402690dd76eb:0x4b283f8fe10ce3f3!2m2!1d-68.5293761!2d-31.5426363!1m5!1m1!1s0x96869bf8fcb777e9:0xce8e39f6dc6c37d7!2m2!1d-69.4022264!2d-31.4787046!1m5!1m1!1s0x9681402690dd76eb:0x4b283f8fe10ce3f3!2m2!1d-68.5293761!2d-31.5426363!3e0?hl=es&amp;entry=ttu&amp;g_ep=EgoyMDI1MDczMC4wIKXMDSoASAFQAw%3D%3D</v>
          </cell>
          <cell r="H406">
            <v>385</v>
          </cell>
        </row>
        <row r="407">
          <cell r="D407" t="str">
            <v>0ACTBJFH90001PP</v>
          </cell>
          <cell r="E407" t="str">
            <v>Calingasta  SOROCAYENSE</v>
          </cell>
          <cell r="F407" t="str">
            <v>https://maps.google.com/maps?q=-31.5576663%2C-69.4424458&amp;z=17&amp;hl=es</v>
          </cell>
          <cell r="G407" t="str">
            <v>https://www.google.com/maps/dir/Catamarca+Sur+664,+San+Juan/Francisco+Javier+Mu%C3%B1iz,+Calingasta,+San+Juan/Catamarca+Sur+664,+San+Juan/@-31.2728598,-69.3030485,79223m/data=!3m2!1e3!4b1!4m20!4m19!1m5!1m1!1s0x9681402690dd76eb:0x4b283f8fe10ce3f3!2m2!1d-68.5293761!2d-31.5426363!1m5!1m1!1s0x96869079e6b0859b:0x1be1cef88a2679da!2m2!1d-69.442284!2d-31.5577637!1m5!1m1!1s0x9681402690dd76eb:0x4b283f8fe10ce3f3!2m2!1d-68.5293761!2d-31.5426363!3e0?hl=es&amp;entry=ttu&amp;g_ep=EgoyMDI1MDczMC4wIKXMDSoASAFQAw%3D%3D</v>
          </cell>
          <cell r="H407">
            <v>407</v>
          </cell>
        </row>
        <row r="408">
          <cell r="D408" t="str">
            <v>0ACTBJFJ400002Z</v>
          </cell>
          <cell r="E408" t="str">
            <v>CALINGASTA</v>
          </cell>
          <cell r="F408" t="str">
            <v>https://maps.google.com/maps?q=-31.6535681%2C-69.4788622&amp;z=17&amp;hl=es</v>
          </cell>
          <cell r="G408" t="str">
            <v>https://www.google.com/maps/dir/Catamarca+Sur+664,+San+Juan/Escuela+de+Educaci%C3%B3n+Especial+(EEE)+M%C3%BAltiple+de+Calingasta,+J5405,+San+Juan/Catamarca+Sur+664,+San+Juan/@-31.3169537,-69.6559979,158373m/data=!3m1!1e3!4m20!4m19!1m5!1m1!1s0x9681402690dd76eb:0x4b283f8fe10ce3f3!2m2!1d-68.5293761!2d-31.5426363!1m5!1m1!1s0x968693c7fb08cdd9:0xb028e769d6d896b8!2m2!1d-69.4766718!2d-31.6542255!1m5!1m1!1s0x9681402690dd76eb:0x4b283f8fe10ce3f3!2m2!1d-68.529376!2d-31.542636!3e0?hl=es&amp;entry=ttu&amp;g_ep=EgoyMDI1MDczMC4wIKXMDSoASAFQAw%3D%3D</v>
          </cell>
          <cell r="H408">
            <v>428</v>
          </cell>
        </row>
        <row r="409">
          <cell r="D409" t="str">
            <v>0ACTBJFH90003WP</v>
          </cell>
          <cell r="E409" t="str">
            <v>Calingasta</v>
          </cell>
          <cell r="F409" t="str">
            <v>https://maps.google.com/maps?q=-31.3573454%2C-69.4461339&amp;z=17&amp;hl=es</v>
          </cell>
          <cell r="G409" t="str">
            <v>https://www.google.com/maps/dir/Catamarca+Sur+664,+San+Juan/-31.3573454,-69.4461339/Catamarca+Sur+664,+San+Juan/@-31.2691944,-69.3042793,79226m/data=!3m2!1e3!4b1!4m15!4m14!1m5!1m1!1s0x9681402690dd76eb:0x4b283f8fe10ce3f3!2m2!1d-68.5293761!2d-31.5426363!1m0!1m5!1m1!1s0x9681402690dd76eb:0x4b283f8fe10ce3f3!2m2!1d-68.5293761!2d-31.5426363!3e0?hl=es&amp;entry=ttu&amp;g_ep=EgoyMDI1MDczMC4wIKXMDSoASAFQAw%3D%3D</v>
          </cell>
          <cell r="H409">
            <v>360</v>
          </cell>
        </row>
        <row r="410">
          <cell r="D410" t="str">
            <v>0ACTBJFJB0000BY</v>
          </cell>
          <cell r="E410" t="str">
            <v>CALINGASTA</v>
          </cell>
          <cell r="F410" t="str">
            <v>https://maps.google.com/maps?q=-31.3340367%2C-69.4244333&amp;z=17&amp;hl=es</v>
          </cell>
          <cell r="G410" t="str">
            <v>https://www.google.com/maps/dir/Catamarca+Sur+664,+San+Juan/Escuela+La+Capilla,+J5403+Calingasta,+San+Juan/Catamarca+Sur+664,+San+Juan/@-31.2651663,-69.2973974,79230m/data=!3m1!1e3!4m20!4m19!1m5!1m1!1s0x9681402690dd76eb:0x4b283f8fe10ce3f3!2m2!1d-68.5293761!2d-31.5426363!1m5!1m1!1s0x9684270232a98477:0x7451e7a09f3ec9fa!2m2!1d-69.4241422!2d-31.3341816!1m5!1m1!1s0x9681402690dd76eb:0x4b283f8fe10ce3f3!2m2!1d-68.5293761!2d-31.5426363!3e0?hl=es&amp;entry=ttu&amp;g_ep=EgoyMDI1MDczMC4wIKXMDSoASAFQAw%3D%3D</v>
          </cell>
          <cell r="H410">
            <v>352</v>
          </cell>
        </row>
        <row r="411">
          <cell r="D411" t="str">
            <v>0ACTBJFH900027P</v>
          </cell>
          <cell r="E411" t="str">
            <v>CALINGASTA (Tamberias)</v>
          </cell>
          <cell r="F411" t="str">
            <v>https://maps.google.com/maps?q=-31.4770616%2C-69.4243881&amp;z=17&amp;hl=es</v>
          </cell>
          <cell r="G411" t="str">
            <v>https://www.google.com/maps/dir/Catamarca+Sur+664,+San+Juan/Colegio+Secundario+Tamberias,+Calingasta,+San+Juan/Catamarca+Sur+664,+San+Juan/@-31.2691944,-69.3166248,79226m/data=!3m2!1e3!4b1!4m20!4m19!1m5!1m1!1s0x9681402690dd76eb:0x4b283f8fe10ce3f3!2m2!1d-68.5293761!2d-31.5426363!1m5!1m1!1s0x96869b9b85e5bb63:0xcb77250b8a379057!2m2!1d-69.4244112!2d-31.4772708!1m5!1m1!1s0x9681402690dd76eb:0x4b283f8fe10ce3f3!2m2!1d-68.5293761!2d-31.5426363!3e0?hl=es&amp;entry=ttu&amp;g_ep=EgoyMDI1MDczMC4wIKXMDSoASAFQAw%3D%3D</v>
          </cell>
          <cell r="H411">
            <v>393</v>
          </cell>
        </row>
        <row r="412">
          <cell r="D412" t="str">
            <v>0ACTBJFJ50000XJ</v>
          </cell>
          <cell r="E412" t="str">
            <v>Calingasta</v>
          </cell>
          <cell r="F412" t="str">
            <v>https://maps.google.com/maps?q=-31.3334191%2C-69.4221669&amp;z=17&amp;hl=es</v>
          </cell>
          <cell r="G412" t="str">
            <v>https://www.google.com/maps/dir/Catamarca+Sur+664,+San+Juan/Escuela+T%C3%A9cnica+General+Manuel+Savio,+Juan+Jufr%C3%A9,+J5403+Calingasta,+San+Juan/Catamarca+Sur+664,+San+Juan/@-31.2691944,-69.2921792,79226m/data=!3m2!1e3!4b1!4m20!4m19!1m5!1m1!1s0x9681402690dd76eb:0x4b283f8fe10ce3f3!2m2!1d-68.5293761!2d-31.5426363!1m5!1m1!1s0x96842763d7e006c3:0x46d7b96eaaacd3f0!2m2!1d-69.4219338!2d-31.3331938!1m5!1m1!1s0x9681402690dd76eb:0x4b283f8fe10ce3f3!2m2!1d-68.5293761!2d-31.5426363!3e0?hl=es&amp;entry=ttu&amp;g_ep=EgoyMDI1MDczMC4wIKXMDSoASAFQAw%3D%3D</v>
          </cell>
          <cell r="H412">
            <v>352</v>
          </cell>
        </row>
        <row r="413">
          <cell r="D413" t="str">
            <v>0ACTBJFH90003BE</v>
          </cell>
          <cell r="E413" t="str">
            <v>Calingasta</v>
          </cell>
          <cell r="F413" t="str">
            <v>https://maps.google.com/maps?q=-31.3340367%2C-69.4244333&amp;z=17&amp;hl=es</v>
          </cell>
          <cell r="G413" t="str">
            <v>https://www.google.com/maps/dir/Catamarca+Sur+664,+San+Juan/Escuela+La+Capilla,+J5403+Calingasta,+San+Juan/Catamarca+Sur+664,+San+Juan/@-31.2651663,-69.2973974,79230m/data=!3m1!1e3!4m20!4m19!1m5!1m1!1s0x9681402690dd76eb:0x4b283f8fe10ce3f3!2m2!1d-68.5293761!2d-31.5426363!1m5!1m1!1s0x9684270232a98477:0x7451e7a09f3ec9fa!2m2!1d-69.4241422!2d-31.3341816!1m5!1m1!1s0x9681402690dd76eb:0x4b283f8fe10ce3f3!2m2!1d-68.5293761!2d-31.5426363!3e0?hl=es&amp;entry=ttu&amp;g_ep=EgoyMDI1MDczMC4wIKXMDSoASAFQAw%3D%3D</v>
          </cell>
          <cell r="H413">
            <v>352</v>
          </cell>
        </row>
        <row r="414">
          <cell r="D414" t="str">
            <v>ZELLBJAH70001YF</v>
          </cell>
          <cell r="E414" t="str">
            <v>Iglesia</v>
          </cell>
          <cell r="F414" t="str">
            <v>https://maps.google.com/maps?q=-30.2117906%2C-69.1368974&amp;z=17&amp;hl=es</v>
          </cell>
          <cell r="G414" t="str">
            <v>https://www.google.com/maps/dir/Catamarca+Sur+664,+San+Juan/Esc.+N%C2%B0751+Provincia+De+Santa+Cruz,+Av.+Santo+Domingo,+J5465+Rodeo,+San+Juan/Catamarca+Sur+664,+San+Juan/@-30.8741951,-70.1871663,318225m/data=!3m2!1e3!4b1!4m20!4m19!1m5!1m1!1s0x9681402690dd76eb:0x4b283f8fe10ce3f3!2m2!1d-68.5293761!2d-31.5426363!1m5!1m1!1s0x9684bd6e70e6ab8d:0xee4427cf7e00823a!2m2!1d-69.1366319!2d-30.2116475!1m5!1m1!1s0x9681402690dd76eb:0x4b283f8fe10ce3f3!2m2!1d-68.5293761!2d-31.5426363!3e0?hl=es&amp;entry=ttu&amp;g_ep=EgoyMDI1MDczMC4wIKXMDSoASAFQAw%3D%3D</v>
          </cell>
          <cell r="H414">
            <v>397</v>
          </cell>
        </row>
        <row r="415">
          <cell r="D415" t="str">
            <v>ZELLBJFJB0006WV</v>
          </cell>
          <cell r="E415" t="str">
            <v>Iglesia</v>
          </cell>
          <cell r="F415" t="str">
            <v>https://maps.google.com/maps?q=-30.4325158%2C-69.2402266&amp;z=17&amp;hl=es</v>
          </cell>
          <cell r="G415" t="str">
            <v>https://www.google.com/maps/dir/Catamarca+Sur+664,+San+Juan/Escuela+Juan+Jos%C3%A9+De+Vertiz,+Bella+Vista,+San+Juan/Catamarca+Sur+664,+San+Juan/@-30.9777014,-69.5311396,158940m/data=!3m2!1e3!4b1!4m20!4m19!1m5!1m1!1s0x9681402690dd76eb:0x4b283f8fe10ce3f3!2m2!1d-68.5293761!2d-31.5426363!1m5!1m1!1s0x96849257ea5a8275:0xb932c35aa33511f0!2m2!1d-69.2402067!2d-30.4323317!1m5!1m1!1s0x9681402690dd76eb:0x4b283f8fe10ce3f3!2m2!1d-68.5293761!2d-31.5426363!3e0?hl=es&amp;entry=ttu&amp;g_ep=EgoyMDI1MDczMC4wIKXMDSoASAFQAw%3D%3D</v>
          </cell>
          <cell r="H415">
            <v>349</v>
          </cell>
        </row>
        <row r="416">
          <cell r="D416" t="str">
            <v>0ACTBJFH90002VJ</v>
          </cell>
          <cell r="E416" t="str">
            <v>Jachal</v>
          </cell>
          <cell r="F416" t="str">
            <v>https://maps.google.com/maps?q=-30.173916%2C-68.4789341&amp;z=17&amp;hl=es</v>
          </cell>
          <cell r="G416" t="str">
            <v>https://www.google.com/maps/dir/Catamarca+Sur+664,+San+Juan/Escuela+Buenaventura+Luna,+Huaco,+San+Juan/Catamarca+Sur+664,+San+Juan/@-30.8536697,-69.9153403,318293m/data=!3m2!1e3!4b1!4m20!4m19!1m5!1m1!1s0x9681402690dd76eb:0x4b283f8fe10ce3f3!2m2!1d-68.5293761!2d-31.5426363!1m5!1m1!1s0x9683156d046a59a9:0xa74ecb123e990cf6!2m2!1d-68.478853!2d-30.1738901!1m5!1m1!1s0x9681402690dd76eb:0x4b283f8fe10ce3f3!2m2!1d-68.5293761!2d-31.5426363!3e0?hl=es&amp;entry=ttu&amp;g_ep=EgoyMDI1MDczMC4wIKXMDSoASAFQAw%3D%3D</v>
          </cell>
          <cell r="H416">
            <v>378</v>
          </cell>
        </row>
        <row r="417">
          <cell r="D417" t="str">
            <v>0ACTBJFJ50001PM</v>
          </cell>
          <cell r="E417" t="str">
            <v>Jachal</v>
          </cell>
          <cell r="F417" t="str">
            <v>https://maps.google.com/maps?q=-30.2436567%2C-68.7498467&amp;z=17&amp;hl=es</v>
          </cell>
          <cell r="G417" t="str">
            <v>https://www.google.com/maps/dir/Catamarca+Sur+664,+San+Juan/Escuela+Normal+Superior+Fray+Justo+Santa+Mar%C3%ADa+De+Oro,+J5460+San+Jose+de+Jachal,+San+Juan/Catamarca+Sur+664,+San+Juan/@-30.8913997,-69.2859766,159084m/data=!3m2!1e3!4b1!4m20!4m19!1m5!1m1!1s0x9681402690dd76eb:0x4b283f8fe10ce3f3!2m2!1d-68.5293761!2d-31.5426363!1m5!1m1!1s0x968367b014e7d7e1:0xb85d7057c6dbd035!2m2!1d-68.7498693!2d-30.2429646!1m5!1m1!1s0x9681402690dd76eb:0x4b283f8fe10ce3f3!2m2!1d-68.5293761!2d-31.5426363!3e0?hl=es&amp;entry=ttu&amp;g_ep=EgoyMDI1MDczMC4wIKXMDSoASAFQAw%3D%3D</v>
          </cell>
          <cell r="H417">
            <v>323</v>
          </cell>
        </row>
        <row r="418">
          <cell r="D418" t="str">
            <v>ZELLBJAH70002SZ</v>
          </cell>
          <cell r="E418" t="str">
            <v>Iglesia</v>
          </cell>
          <cell r="F418" t="str">
            <v>https://maps.google.com/maps?q=-30.3084425%2C-69.2194747&amp;z=17&amp;hl=es</v>
          </cell>
          <cell r="G418" t="str">
            <v>https://www.google.com/maps/dir/Catamarca+Sur+664,+San+Juan/Escuela+Presidente+Mitre,+Iglesia,+San+Juan/Catamarca+Sur+664,+San+Juan/@-30.9288234,-69.5248649,159022m/data=!3m2!1e3!4b1!4m20!4m19!1m5!1m1!1s0x9681402690dd76eb:0x4b283f8fe10ce3f3!2m2!1d-68.5293761!2d-31.5426363!1m5!1m1!1s0x968495958287bbbf:0x794e1f8c009481b4!2m2!1d-69.2195395!2d-30.308594!1m5!1m1!1s0x9681402690dd76eb:0x4b283f8fe10ce3f3!2m2!1d-68.5293761!2d-31.5426363!3e0?hl=es&amp;entry=ttu&amp;g_ep=EgoyMDI1MDczMC4wIKXMDSoASAFQAw%3D%3D</v>
          </cell>
          <cell r="H418">
            <v>368</v>
          </cell>
        </row>
        <row r="419">
          <cell r="D419" t="str">
            <v>0ACTBJFK200009P</v>
          </cell>
          <cell r="E419" t="str">
            <v>Jachal</v>
          </cell>
          <cell r="F419" t="str">
            <v>https://maps.google.com/maps?q=-30.2368348%2C-68.7473609&amp;z=17&amp;hl=es</v>
          </cell>
          <cell r="G419" t="str">
            <v>https://www.google.com/maps/dir/Catamarca+Sur+664,+San+Juan/Escuela+Provincia+De+La+Pampa,+25+de+Mayo,+J5460+San+Jose+de+Jachal,+San+Juan/Catamarca+Sur+664,+San+Juan/@-30.8916505,-69.2848992,159083m/data=!3m2!1e3!4b1!4m20!4m19!1m5!1m1!1s0x9681402690dd76eb:0x4b283f8fe10ce3f3!2m2!1d-68.5293761!2d-31.5426363!1m5!1m1!1s0x968367a3479383ad:0x1019e4a2591ea2c5!2m2!1d-68.7477031!2d-30.236746!1m5!1m1!1s0x9681402690dd76eb:0x4b283f8fe10ce3f3!2m2!1d-68.5293761!2d-31.5426363!3e0?hl=es&amp;entry=ttu&amp;g_ep=EgoyMDI1MDczMC4wIKXMDSoASAFQAw%3D%3D</v>
          </cell>
          <cell r="H419">
            <v>322</v>
          </cell>
        </row>
        <row r="420">
          <cell r="D420" t="str">
            <v>0ACTBJFJ50000VL</v>
          </cell>
          <cell r="E420" t="str">
            <v>Jachal</v>
          </cell>
          <cell r="F420" t="str">
            <v>https://maps.google.com/maps?q=-30.3994927%2C-68.6945117&amp;z=17&amp;hl=es</v>
          </cell>
          <cell r="G420" t="str">
            <v>https://www.google.com/maps/dir/Catamarca+Sur+664,+San+Juan/Escuela+Jos%C3%A9+Mat%C3%ADas+Zapiola,+Niquivil,+San+Juan/Catamarca+Sur+664,+San+Juan/@-30.9695477,-69.2633001,158954m/data=!3m1!1e3!4m20!4m19!1m5!1m1!1s0x9681402690dd76eb:0x4b283f8fe10ce3f3!2m2!1d-68.5293761!2d-31.5426363!1m5!1m1!1s0x9683706ae4aae525:0x60ef373ea151a26a!2m2!1d-68.6945325!2d-30.399619!1m5!1m1!1s0x9681402690dd76eb:0x4b283f8fe10ce3f3!2m2!1d-68.5293761!2d-31.5426363!3e0?hl=es&amp;entry=ttu&amp;g_ep=EgoyMDI1MDczMC4wIKXMDSoASAFQAw%3D%3D</v>
          </cell>
          <cell r="H420">
            <v>278</v>
          </cell>
        </row>
        <row r="421">
          <cell r="D421" t="str">
            <v>0ACTBJFK800036M</v>
          </cell>
          <cell r="E421" t="str">
            <v>Jachal</v>
          </cell>
          <cell r="F421" t="str">
            <v>https://maps.google.com/maps?q=-30.2394614%2C-68.7420225&amp;z=17&amp;hl=es</v>
          </cell>
          <cell r="G421" t="str">
            <v>https://www.google.com/maps/dir/Catamarca+Sur+664,+San+Juan/E.P.E.T.+N%C2%BA+1+de+J%C3%A1chal,+Agustin+Gomez,+J5460+San+Jose+de+Jachal,+San+Juan/Catamarca+Sur+664,+San+Juan/@-30.8893422,-69.2867056,159087m/data=!3m1!1e3!4m20!4m19!1m5!1m1!1s0x9681402690dd76eb:0x4b283f8fe10ce3f3!2m2!1d-68.5293761!2d-31.5426363!1m5!1m1!1s0x968367b8324aaebf:0xa0710b28663aed38!2m2!1d-68.7418536!2d-30.2395509!1m5!1m1!1s0x9681402690dd76eb:0x4b283f8fe10ce3f3!2m2!1d-68.5293761!2d-31.5426363!3e0?hl=es&amp;entry=ttu&amp;g_ep=EgoyMDI1MDczMC4wIKXMDSoASAFQAw%3D%3D</v>
          </cell>
          <cell r="H421">
            <v>323</v>
          </cell>
        </row>
        <row r="422">
          <cell r="D422" t="str">
            <v>0ACTBJFJ50001MT</v>
          </cell>
          <cell r="E422" t="str">
            <v>Jachal</v>
          </cell>
          <cell r="F422" t="str">
            <v>https://maps.google.com/maps?q=-30.2438392%2C-68.7499604&amp;z=17&amp;hl=es</v>
          </cell>
          <cell r="G422" t="str">
            <v>https://www.google.com/maps/dir/Catamarca+Sur+664,+San+Juan/Escuela+Normal+Superior+Fray+Justo+Santa+Mar%C3%ADa+De+Oro,+J5460+San+Jose+de+Jachal,+San+Juan/Catamarca+Sur+664,+San+Juan/@-30.8866406,-69.2908382,159092m/data=!3m1!1e3!4m20!4m19!1m5!1m1!1s0x9681402690dd76eb:0x4b283f8fe10ce3f3!2m2!1d-68.5293761!2d-31.5426363!1m5!1m1!1s0x968367b014e7d7e1:0xb85d7057c6dbd035!2m2!1d-68.7498693!2d-30.2429646!1m5!1m1!1s0x9681402690dd76eb:0x4b283f8fe10ce3f3!2m2!1d-68.5293761!2d-31.5426363!3e0?hl=es&amp;entry=ttu&amp;g_ep=EgoyMDI1MDczMC4wIKXMDSoASAFQAw%3D%3D</v>
          </cell>
          <cell r="H422">
            <v>323</v>
          </cell>
        </row>
        <row r="423">
          <cell r="D423" t="str">
            <v>0ACTBJFK80002AY</v>
          </cell>
          <cell r="E423" t="str">
            <v>Jachal</v>
          </cell>
          <cell r="F423" t="str">
            <v>https://maps.google.com/maps?q=-30.2368829%2C-68.7474272&amp;z=17&amp;hl=es</v>
          </cell>
          <cell r="G423" t="str">
            <v>https://www.google.com/maps/dir/Catamarca+Sur+664,+San+Juan/Escuela+Provincia+De+La+Pampa,+25+de+Mayo,+J5460+San+Jose+de+Jachal,+San+Juan/Catamarca+Sur+664,+San+Juan/@-30.8871724,-69.2894738,159091m/data=!3m1!1e3!4m20!4m19!1m5!1m1!1s0x9681402690dd76eb:0x4b283f8fe10ce3f3!2m2!1d-68.5293761!2d-31.5426363!1m5!1m1!1s0x968367a3479383ad:0x1019e4a2591ea2c5!2m2!1d-68.7477031!2d-30.236746!1m5!1m1!1s0x9681402690dd76eb:0x4b283f8fe10ce3f3!2m2!1d-68.5293761!2d-31.5426363!3e0?hl=es&amp;entry=ttu&amp;g_ep=EgoyMDI1MDczMC4wIKXMDSoASAFQAw%3D%3D</v>
          </cell>
          <cell r="H423">
            <v>322</v>
          </cell>
        </row>
        <row r="424">
          <cell r="D424" t="str">
            <v>0ACTBJFJ50000DE</v>
          </cell>
          <cell r="E424" t="str">
            <v>Jachal (Pachimoco)</v>
          </cell>
          <cell r="F424" t="str">
            <v>https://maps.google.com/maps?q=-30.2240489%2C-68.7649545&amp;z=17&amp;hl=es</v>
          </cell>
          <cell r="G424" t="str">
            <v>https://www.google.com/maps/dir/Catamarca+Sur+664,+San+Juan/Escuela+Agrot%C3%A9nica+Manuel+Belgrano,+San+Jose+de+Jachal,+San+Juan/Catamarca+Sur+664,+San+Juan/@-30.8824933,-69.2985481,159099m/data=!3m1!1e3!4m20!4m19!1m5!1m1!1s0x9681402690dd76eb:0x4b283f8fe10ce3f3!2m2!1d-68.5293761!2d-31.5426363!1m5!1m1!1s0x96836777c76de6df:0xc3c2116f8562e6ff!2m2!1d-68.763417!2d-30.2252051!1m5!1m1!1s0x9681402690dd76eb:0x4b283f8fe10ce3f3!2m2!1d-68.5293761!2d-31.5426363!3e0?hl=es&amp;entry=ttu&amp;g_ep=EgoyMDI1MDczMC4wIKXMDSoASAFQAw%3D%3D</v>
          </cell>
          <cell r="H424">
            <v>326</v>
          </cell>
        </row>
        <row r="425">
          <cell r="D425" t="str">
            <v>ZELLBJFJB0006ED</v>
          </cell>
          <cell r="E425">
            <v>45802</v>
          </cell>
          <cell r="F425" t="str">
            <v>https://maps.google.com/maps?q=-31.7468568%2C-68.3142829&amp;z=17&amp;hl=es</v>
          </cell>
          <cell r="G425" t="str">
            <v>https://www.google.com/maps/dir/Catamarca+Sur+664,+San+Juan/Escuela+Provincia+de+San+Juan,+25+de+Mayo+y+Mitre+S%2FN,+Villa+Santa+Rosa,+Dpto,+San+Juan/Catamarca+Sur+664,+San+Juan/@-31.6438039,-68.584671,39455m/data=!3m2!1e3!4b1!4m20!4m19!1m5!1m1!1s0x9681402690dd76eb:0x4b283f8fe10ce3f3!2m2!1d-68.5293761!2d-31.5426363!1m5!1m1!1s0x96810596e695f093:0x4bee11bf244e827f!2m2!1d-68.3143901!2d-31.7470534!1m5!1m1!1s0x9681402690dd76eb:0x4b283f8fe10ce3f3!2m2!1d-68.5293761!2d-31.5426363!3e0?hl=es&amp;entry=ttu&amp;g_ep=EgoyMDI1MDczMC4wIKXMDSoASAFQAw%3D%3D</v>
          </cell>
          <cell r="H425">
            <v>73.5</v>
          </cell>
        </row>
        <row r="426">
          <cell r="D426" t="str">
            <v>ZELLBJEJ500055X</v>
          </cell>
          <cell r="E426">
            <v>45802</v>
          </cell>
          <cell r="F426" t="str">
            <v>https://maps.google.com/maps?q=-31.7724229%2C-68.306482&amp;z=17&amp;hl=es</v>
          </cell>
          <cell r="G426" t="str">
            <v>https://www.google.com/maps/dir/Catamarca+Sur+664,+San+Juan/Escuela+Mar%C3%ADa+Curie,+Calle+6,+Estacion,+Algarrobo+Verde,+San+Juan/Catamarca+Sur+664,+San+Juan/@-31.6559437,-68.7478979,78900m/data=!3m2!1e3!4b1!4m20!4m19!1m5!1m1!1s0x9681402690dd76eb:0x4b283f8fe10ce3f3!2m2!1d-68.5293761!2d-31.5426363!1m5!1m1!1s0x968105160806ac93:0x2eb8016879701f89!2m2!1d-68.306676!2d-31.7725566!1m5!1m1!1s0x9681402690dd76eb:0x4b283f8fe10ce3f3!2m2!1d-68.5293761!2d-31.5426363!3e0?hl=es&amp;entry=ttu&amp;g_ep=EgoyMDI1MDczMC4wIKXMDSoASAFQAw%3D%3D</v>
          </cell>
          <cell r="H426">
            <v>80.3</v>
          </cell>
        </row>
        <row r="427">
          <cell r="D427" t="str">
            <v>0ACTBJFH90003AP</v>
          </cell>
          <cell r="E427" t="str">
            <v>Caucete</v>
          </cell>
          <cell r="F427" t="str">
            <v>https://maps.google.com/maps?q=-31.4609707%2C-67.3522942&amp;z=17&amp;hl=es</v>
          </cell>
          <cell r="G427" t="str">
            <v>https://www.google.com/maps/dir/Catamarca+Sur+664,+San+Juan/GJQX%2BG4+Escuela+Presidente+Julio+Argentino+Roca,+Los+Papagayos,+San+Juan/Catamarca+Sur+664,+San+Juan/@-31.6074992,-68.5994152,157882m/data=!3m1!1e3!4m20!4m19!1m5!1m1!1s0x9681402690dd76eb:0x4b283f8fe10ce3f3!2m2!1d-68.5293761!2d-31.5426363!1m5!1m1!1s0x942a775fe3bb60c9:0x2800d37d8497d525!2m2!1d-67.3521981!2d-31.461131!1m5!1m1!1s0x9681402690dd76eb:0x4b283f8fe10ce3f3!2m2!1d-68.5293761!2d-31.5426363!3e0?hl=es&amp;entry=ttu&amp;g_ep=EgoyMDI1MDczMC4wIKXMDSoASAFQAw%3D%3D</v>
          </cell>
          <cell r="H427">
            <v>279</v>
          </cell>
        </row>
        <row r="428">
          <cell r="D428" t="str">
            <v>0ACTBJFJ500027M</v>
          </cell>
          <cell r="E428" t="str">
            <v>Valle Fertil</v>
          </cell>
          <cell r="F428" t="str">
            <v>https://maps.google.com/maps?q=-30.6275828%2C-67.4637461&amp;z=17&amp;hl=es</v>
          </cell>
          <cell r="G428" t="str">
            <v>https://www.google.com/maps/dir/Catamarca+Sur+664,+San+Juan/Escuela+Agrotecnica+Ej%C3%A9rcito+Argentino,+J5449+Villa+San+Agust%C3%ADn,+San+Juan/Catamarca+Sur+664,+San+Juan/@-31.19083,-68.5303571,158584m/data=!3m2!1e3!4b1!4m20!4m19!1m5!1m1!1s0x9681402690dd76eb:0x4b283f8fe10ce3f3!2m2!1d-68.5293761!2d-31.5426363!1m5!1m1!1s0x9682747026776887:0xcbdea15b60ce0a39!2m2!1d-67.4640364!2d-30.6276738!1m5!1m1!1s0x9681402690dd76eb:0x4b283f8fe10ce3f3!2m2!1d-68.5293761!2d-31.5426363!3e0?hl=es&amp;entry=ttu&amp;g_ep=EgoyMDI1MDczMC4wIKXMDSoASAFQAw%3D%3D</v>
          </cell>
          <cell r="H428">
            <v>500</v>
          </cell>
        </row>
        <row r="429">
          <cell r="D429" t="str">
            <v>79G3211</v>
          </cell>
          <cell r="E429" t="str">
            <v>Iglesia</v>
          </cell>
          <cell r="F429" t="str">
            <v>https://maps.google.com/maps?q=-30.2121883%2C-69.1378241&amp;z=17&amp;hl=es</v>
          </cell>
          <cell r="G429" t="str">
            <v>https://www.google.com/maps/dir/Catamarca+Sur+664,+San+Juan/Escuela+Albergue+de+RODEO,+Av.+Santo+Domingo+5465,+J5465+Rodeo,+San+Juan/Catamarca+Sur+664,+San+Juan/@-30.874449,-69.7284476,206591m/data=!3m1!1e3!4m20!4m19!1m5!1m1!1s0x9681402690dd76eb:0x4b283f8fe10ce3f3!2m2!1d-68.5293761!2d-31.5426363!1m5!1m1!1s0x9684bdf26c06f9af:0x416a2ab2c15657ce!2m2!1d-69.1378425!2d-30.2122908!1m5!1m1!1s0x9681402690dd76eb:0x4b283f8fe10ce3f3!2m2!1d-68.5293761!2d-31.5426363!3e0?hl=es&amp;entry=ttu&amp;g_ep=EgoyMDI1MDczMC4wIKXMDSoASAFQAw%3D%3D</v>
          </cell>
          <cell r="H429">
            <v>397</v>
          </cell>
        </row>
        <row r="430">
          <cell r="D430" t="str">
            <v>0ACTBJFJ90000VE</v>
          </cell>
          <cell r="E430" t="str">
            <v>Jachal</v>
          </cell>
          <cell r="F430" t="str">
            <v>https://maps.google.com/maps?q=-30.1899074%2C-68.6602882&amp;z=17&amp;hl=es</v>
          </cell>
          <cell r="G430" t="str">
            <v>https://www.google.com/maps/dir/Catamarca+Sur+664,+San+Juan/Escuela+Jos%C3%A9+Marmol,+Pampa+del+Cha%C3%B1ar,+San+Juan/Catamarca+Sur+664,+San+Juan/@-30.8635059,-69.9413953,318260m/data=!3m2!1e3!4b1!4m20!4m19!1m5!1m1!1s0x9681402690dd76eb:0x4b283f8fe10ce3f3!2m2!1d-68.5293761!2d-31.5426363!1m5!1m1!1s0x968343332eb1b0f3:0x7e67ae406e69dd4d!2m2!1d-68.6598066!2d-30.1901126!1m5!1m1!1s0x9681402690dd76eb:0x4b283f8fe10ce3f3!2m2!1d-68.5293761!2d-31.5426363!3e0?hl=es&amp;entry=ttu&amp;g_ep=EgoyMDI1MDczMC4wIKXMDSoASAFQAw%3D%3D</v>
          </cell>
          <cell r="H430">
            <v>343</v>
          </cell>
        </row>
        <row r="431">
          <cell r="D431" t="str">
            <v>0ACTBJFH90001BM</v>
          </cell>
          <cell r="E431" t="str">
            <v>JACHAL</v>
          </cell>
          <cell r="F431" t="str">
            <v>https://maps.google.com/maps?q=-30.2096908%2C-68.7465701&amp;z=17&amp;hl=es</v>
          </cell>
          <cell r="G431" t="str">
            <v>https://www.google.com/maps/dir/Catamarca+Sur+664,+San+Juan/Presbitero+Patricio+Lopez+del+Campo,+Bella+Vista,+San+Juan/Catamarca+Sur+664,+San+Juan/@-30.8731091,-69.9444586,318228m/data=!3m2!1e3!4b1!4m20!4m19!1m5!1m1!1s0x9681402690dd76eb:0x4b283f8fe10ce3f3!2m2!1d-68.5293761!2d-31.5426363!1m5!1m1!1s0x9683672ec4073951:0xbdae67fd9d04a9c4!2m2!1d-68.7465879!2d-30.209438!1m5!1m1!1s0x9681402690dd76eb:0x4b283f8fe10ce3f3!2m2!1d-68.5293761!2d-31.5426363!3e0?hl=es&amp;entry=ttu&amp;g_ep=EgoyMDI1MDczMC4wIKXMDSoASAFQAw%3D%3D</v>
          </cell>
          <cell r="H431">
            <v>328</v>
          </cell>
        </row>
        <row r="432">
          <cell r="D432" t="str">
            <v>0ACTBJFK10000ZR</v>
          </cell>
          <cell r="E432" t="str">
            <v>Jachal (La Falda)</v>
          </cell>
          <cell r="F432" t="str">
            <v>https://maps.google.com/maps?q=-30.1899074%2C-68.6602882&amp;z=17&amp;hl=es</v>
          </cell>
          <cell r="G432" t="str">
            <v>https://www.google.com/maps/dir/Catamarca+Sur+664,+San+Juan/Escuela+Jos%C3%A9+Marmol,+Pampa+del+Cha%C3%B1ar,+San+Juan/Catamarca+Sur+664,+San+Juan/@-30.8635059,-69.9413953,318260m/data=!3m2!1e3!4b1!4m20!4m19!1m5!1m1!1s0x9681402690dd76eb:0x4b283f8fe10ce3f3!2m2!1d-68.5293761!2d-31.5426363!1m5!1m1!1s0x968343332eb1b0f3:0x7e67ae406e69dd4d!2m2!1d-68.6598066!2d-30.1901126!1m5!1m1!1s0x9681402690dd76eb:0x4b283f8fe10ce3f3!2m2!1d-68.5293761!2d-31.5426363!3e0?hl=es&amp;entry=ttu&amp;g_ep=EgoyMDI1MDczMC4wIKXMDSoASAFQAw%3D%3D</v>
          </cell>
          <cell r="H432">
            <v>343</v>
          </cell>
        </row>
        <row r="433">
          <cell r="D433" t="str">
            <v>0ACTBJFK20006QW</v>
          </cell>
          <cell r="E433" t="str">
            <v>Jachal (Pampa del Chañar)</v>
          </cell>
          <cell r="F433" t="str">
            <v>https://maps.google.com/maps?q=-30.1514775%2C-68.6869191&amp;z=17&amp;hl=es</v>
          </cell>
          <cell r="G433" t="str">
            <v>https://www.google.com/maps/dir/Catamarca+Sur+664,+San+Juan/Escuela+Dr.+Daniel+Segundo+Aubone,+Pampa+del+Cha%C3%B1ar,+San+Juan/Catamarca+Sur+664,+San+Juan/@-30.8441489,-69.9413957,318325m/data=!3m2!1e3!4b1!4m20!4m19!1m5!1m1!1s0x9681402690dd76eb:0x4b283f8fe10ce3f3!2m2!1d-68.5293761!2d-31.5426363!1m5!1m1!1s0x9683438f54e310b9:0x6d0b821c6ca56d08!2m2!1d-68.6869958!2d-30.1514283!1m5!1m1!1s0x9681402690dd76eb:0x4b283f8fe10ce3f3!2m2!1d-68.5293761!2d-31.5426363!3e0?hl=es&amp;entry=ttu&amp;g_ep=EgoyMDI1MDczMC4wIKXMDSoASAFQAw%3D%3D</v>
          </cell>
          <cell r="H433">
            <v>345</v>
          </cell>
        </row>
        <row r="434">
          <cell r="D434" t="str">
            <v>0ACTBJFJ50001LK</v>
          </cell>
          <cell r="E434" t="str">
            <v>Jachal</v>
          </cell>
          <cell r="F434" t="str">
            <v>https://maps.google.com/maps?q=-30.1434488%2C-68.7056887&amp;z=17&amp;hl=es</v>
          </cell>
          <cell r="G434" t="str">
            <v>https://www.google.com/maps/dir/Catamarca+Sur+664,+San+Juan/Escuela+Agroindustrial+Mons.+Dr.juan+Antonio+Videla+Cuello,+Villa+San+Isidro,+San+Juan/Catamarca+Sur+664,+San+Juan/@-30.8398817,-69.9413958,318339m/data=!3m2!1e3!4b1!4m20!4m19!1m5!1m1!1s0x9681402690dd76eb:0x4b283f8fe10ce3f3!2m2!1d-68.5293761!2d-31.5426363!1m5!1m1!1s0x96834340c1233727:0x629838a159d60afa!2m2!1d-68.7058977!2d-30.143312!1m5!1m1!1s0x9681402690dd76eb:0x4b283f8fe10ce3f3!2m2!1d-68.5293761!2d-31.5426363!3e0?hl=es&amp;entry=ttu&amp;g_ep=EgoyMDI1MDczMC4wIKXMDSoASAFQAw%3D%3D</v>
          </cell>
          <cell r="H434">
            <v>343</v>
          </cell>
        </row>
        <row r="435">
          <cell r="D435" t="str">
            <v>ZELLBJAH700008E</v>
          </cell>
          <cell r="E435">
            <v>45802</v>
          </cell>
          <cell r="F435" t="str">
            <v>https://maps.google.com/maps?q=-31.8375817%2C-68.3586883&amp;z=17&amp;hl=es</v>
          </cell>
          <cell r="G435" t="str">
            <v>https://www.google.com/maps/dir/Catamarca+Sur+664,+San+Juan/Escuela+DOMINGO+DE+ORO,+Unnamed+Road,+San+Juan/Catamarca+Sur+664,+San+Juan/@-31.6892546,-68.5975217,39436m/data=!3m2!1e3!4b1!4m20!4m19!1m5!1m1!1s0x9681402690dd76eb:0x4b283f8fe10ce3f3!2m2!1d-68.5293761!2d-31.5426363!1m5!1m1!1s0x96811d88be69d63b:0x1c03851abd448e82!2m2!1d-68.3587473!2d-31.8375317!1m5!1m1!1s0x9681402690dd76eb:0x4b283f8fe10ce3f3!2m2!1d-68.5293761!2d-31.5426363!3e0?hl=es&amp;entry=ttu&amp;g_ep=EgoyMDI1MDczMC4wIKXMDSoASAFQAw%3D%3D</v>
          </cell>
          <cell r="H435">
            <v>90.3</v>
          </cell>
        </row>
        <row r="436">
          <cell r="D436" t="str">
            <v>ZELLBJFK9000BMP</v>
          </cell>
          <cell r="E436">
            <v>45802</v>
          </cell>
          <cell r="F436" t="str">
            <v>https://maps.google.com/maps?q=-31.7862827%2C-68.2939753&amp;z=17&amp;hl=es</v>
          </cell>
          <cell r="G436" t="str">
            <v>https://www.google.com/maps/dir/Catamarca+Sur+664,+San+Juan/Escuela+Mar+Argentino,+C.+7+y+21,+J5443+Villa+Borjas,+San+Juan/Catamarca+Sur+664,+San+Juan/@-31.6637319,-68.5756894,39447m/data=!3m2!1e3!4b1!4m20!4m19!1m5!1m1!1s0x9681402690dd76eb:0x4b283f8fe10ce3f3!2m2!1d-68.5293761!2d-31.5426363!1m5!1m1!1s0x968105c497e4ba21:0x4f7dd5dbbb27d377!2m2!1d-68.2932611!2d-31.7869356!1m5!1m1!1s0x9681402690dd76eb:0x4b283f8fe10ce3f3!2m2!1d-68.5293761!2d-31.5426363!3e0?hl=es&amp;entry=ttu&amp;g_ep=EgoyMDI1MDczMC4wIKXMDSoASAFQAw%3D%3D</v>
          </cell>
          <cell r="H436">
            <v>86</v>
          </cell>
        </row>
        <row r="437">
          <cell r="D437" t="str">
            <v>ZELLBJFK20000DR</v>
          </cell>
          <cell r="E437" t="str">
            <v>VALLE FÉRTIL</v>
          </cell>
          <cell r="F437" t="str">
            <v>https://maps.google.com/maps?q=-31.2016224%2C-67.1664527&amp;z=17&amp;hl=es</v>
          </cell>
          <cell r="G437" t="str">
            <v>https://www.google.com/maps/dir/Catamarca+Sur+664,+San+Juan/Escuela+De+La+Patria,+RP510,+San+Juan/Catamarca+Sur+664,+San+Juan/@-31.4698671,-68.5081899,158115m/data=!3m2!1e3!4b1!4m20!4m19!1m5!1m1!1s0x9681402690dd76eb:0x4b283f8fe10ce3f3!2m2!1d-68.5293761!2d-31.5426363!1m5!1m1!1s0x942a0ef54000f47f:0x1d05affc9ef9a107!2m2!1d-67.1662412!2d-31.2016304!1m5!1m1!1s0x9681402690dd76eb:0x4b283f8fe10ce3f3!2m2!1d-68.5293761!2d-31.5426363!3e0?hl=es&amp;entry=ttu&amp;g_ep=EgoyMDI1MDczMC4wIKXMDSoASAFQAw%3D%3D</v>
          </cell>
          <cell r="H437">
            <v>367</v>
          </cell>
        </row>
        <row r="438">
          <cell r="D438" t="str">
            <v>0ACTBJFJ500041B</v>
          </cell>
          <cell r="E438" t="str">
            <v>VALLE FÉRTIL</v>
          </cell>
          <cell r="F438" t="str">
            <v>https://maps.google.com/maps?q=-30.637655%2C-67.4592018&amp;z=17&amp;hl=es</v>
          </cell>
          <cell r="G438" t="str">
            <v>https://www.google.com/maps/dir/Catamarca+Sur+664,+San+Juan/Colegio+Superior+N%C2%B0+1+Fuerza+A%C3%A9rea+Argentina,+G%C3%BCemes,+J5449+Villa+San+Agust%C3%ADn,+San+Juan/Catamarca+Sur+664,+San+Juan/@-31.1948331,-68.5303571,158578m/data=!3m2!1e3!4b1!4m20!4m19!1m5!1m1!1s0x9681402690dd76eb:0x4b283f8fe10ce3f3!2m2!1d-68.5293761!2d-31.5426363!1m5!1m1!1s0x968275e03800ef9d:0xb9ee357cb79b36ad!2m2!1d-67.4595939!2d-30.6372204!1m5!1m1!1s0x9681402690dd76eb:0x4b283f8fe10ce3f3!2m2!1d-68.5293761!2d-31.5426363!3e0?hl=es&amp;entry=ttu&amp;g_ep=EgoyMDI1MDczMC4wIKXMDSoASAFQAw%3D%3D</v>
          </cell>
          <cell r="H438">
            <v>500</v>
          </cell>
        </row>
        <row r="439">
          <cell r="D439" t="str">
            <v>ZELLBJAH70001SP</v>
          </cell>
          <cell r="E439" t="str">
            <v>Valle Fertil</v>
          </cell>
          <cell r="F439" t="str">
            <v>https://maps.google.com/maps?q=-31.0743106%2C-67.1172994&amp;z=17&amp;hl=es</v>
          </cell>
          <cell r="G439" t="str">
            <v>https://www.google.com/maps/dir/Catamarca+Sur+664,+San+Juan/%E2%80%9CEscuela+Fragata+presidente+Sarmiento%E2%80%9D,+San+Juan/Catamarca+Sur+664,+San+Juan/@-31.4140872,-68.483695,158209m/data=!3m2!1e3!4b1!4m20!4m19!1m5!1m1!1s0x9681402690dd76eb:0x4b283f8fe10ce3f3!2m2!1d-68.5293761!2d-31.5426363!1m5!1m1!1s0x942a1bf037f57c5f:0x6038a39be5ab6186!2m2!1d-67.1176002!2d-31.0741228!1m5!1m1!1s0x9681402690dd76eb:0x4b283f8fe10ce3f3!2m2!1d-68.5293761!2d-31.5426363!3e0?hl=es&amp;entry=ttu&amp;g_ep=EgoyMDI1MDczMC4wIKXMDSoASAFQAw%3D%3D</v>
          </cell>
          <cell r="H439">
            <v>396</v>
          </cell>
        </row>
        <row r="440">
          <cell r="D440" t="str">
            <v>ZELLBJEK30003BP</v>
          </cell>
          <cell r="E440" t="str">
            <v>Caucete</v>
          </cell>
          <cell r="F440" t="str">
            <v>https://maps.google.com/maps?q=-31.2792695%2C-67.5279436&amp;z=17&amp;hl=es</v>
          </cell>
          <cell r="G440" t="str">
            <v>https://www.google.com/maps/dir/Catamarca+Sur+664,+San+Juan/E.E.E.+MULTIPLE+DE+RIVADAVIA,+J5400+Rivadavia,+San+Juan/Catamarca+Sur+664,+San+Juan/@-31.5337343,-68.588861,9875m/data=!3m1!1e3!4m20!4m19!1m5!1m1!1s0x9681402690dd76eb:0x4b283f8fe10ce3f3!2m2!1d-68.5293761!2d-31.5426363!1m5!1m1!1s0x9681419f842d530b:0xe3bddb2035258207!2m2!1d-68.5700278!2d-31.5127903!1m5!1m1!1s0x9681402690dd76eb:0x4b283f8fe10ce3f3!2m2!1d-68.5293761!2d-31.5426363!3e0?hl=es&amp;entry=ttu&amp;g_ep=EgoyMDI1MDczMC4wIKXMDSoASAFQAw%3D%3D</v>
          </cell>
          <cell r="H440">
            <v>224</v>
          </cell>
        </row>
        <row r="441">
          <cell r="D441" t="str">
            <v>0ACTBJFJ40003GJ</v>
          </cell>
          <cell r="E441" t="str">
            <v>Valle Fertil</v>
          </cell>
          <cell r="F441" t="str">
            <v>https://maps.google.com/maps?q=-30.6815727%2C-67.5058262&amp;z=17&amp;hl=es</v>
          </cell>
          <cell r="G441" t="str">
            <v>https://www.google.com/maps/dir/Catamarca+Sur+664,+San+Juan/Escuela+Doctora+Julieta+Lanteri,+La+Majadita,+San+Juan/Catamarca+Sur+664,+San+Juan/@-31.1929937,-68.5303571,158581m/data=!3m2!1e3!4b1!4m20!4m19!1m5!1m1!1s0x9681402690dd76eb:0x4b283f8fe10ce3f3!2m2!1d-68.5293761!2d-31.5426363!1m5!1m1!1s0x968273fd7b83661d:0x8ef1bd4513b952b3!2m2!1d-67.5056949!2d-30.681924!1m5!1m1!1s0x9681402690dd76eb:0x4b283f8fe10ce3f3!2m2!1d-68.5293761!2d-31.5426363!3e0?hl=es&amp;entry=ttu&amp;g_ep=EgoyMDI1MDczMC4wIKXMDSoASAFQAw%3D%3D</v>
          </cell>
          <cell r="H441">
            <v>517</v>
          </cell>
        </row>
        <row r="442">
          <cell r="D442" t="str">
            <v>0ACTBJFH90000PL</v>
          </cell>
          <cell r="E442" t="str">
            <v>Valle Fertil</v>
          </cell>
          <cell r="F442" t="str">
            <v>https://maps.app.goo.gl/VEGA4EZfFZ8cCfyi9</v>
          </cell>
          <cell r="G442" t="str">
            <v>https://www.google.com/maps/dir/Catamarca+Sur+664,+San+Juan/Escuela+Carlos+Hugo+Medina+Su%C3%A1rez,+Ruta+506,+San+Juan/Catamarca+Sur+664,+San+Juan/@-31.1948331,-68.5303571,158578m/data=!3m2!1e3!4b1!4m20!4m19!1m5!1m1!1s0x9681402690dd76eb:0x4b283f8fe10ce3f3!2m2!1d-68.5293761!2d-31.5426363!1m5!1m1!1s0x96820b173b69585d:0x4dadfcd25895494a!2m2!1d-67.389408!2d-30.6927884!1m5!1m1!1s0x9681402690dd76eb:0x4b283f8fe10ce3f3!2m2!1d-68.5293761!2d-31.5426363!3e0?entry=ttu&amp;g_ep=EgoyMDI1MDczMC4wIKXMDSoASAFQAw%3D%3D</v>
          </cell>
          <cell r="H442">
            <v>524</v>
          </cell>
        </row>
        <row r="443">
          <cell r="D443" t="str">
            <v>0ACTBJFHB00023E</v>
          </cell>
          <cell r="E443" t="str">
            <v>Caucete</v>
          </cell>
          <cell r="F443" t="str">
            <v>https://maps.google.com/maps?q=-31.4766487%2C-67.3028925&amp;z=17&amp;hl=es</v>
          </cell>
          <cell r="G443" t="str">
            <v>https://www.google.com/maps/dir/Catamarca+Sur+664,+San+Juan/Escuela+Republica+de+Bolivia,+Marayes,+San+Juan/Catamarca+Sur+664,+San+Juan/@-31.6153358,-68.5739572,157869m/data=!3m1!1e3!4m20!4m19!1m5!1m1!1s0x9681402690dd76eb:0x4b283f8fe10ce3f3!2m2!1d-68.5293761!2d-31.5426363!1m5!1m1!1s0x942a772788883769:0x4fbf95bbaa33448c!2m2!1d-67.3030765!2d-31.476627!1m5!1m1!1s0x9681402690dd76eb:0x4b283f8fe10ce3f3!2m2!1d-68.5293761!2d-31.5426363!3e0?hl=es&amp;entry=ttu&amp;g_ep=EgoyMDI1MDczMC4wIKXMDSoASAFQAw%3D%3D</v>
          </cell>
          <cell r="H443">
            <v>282</v>
          </cell>
        </row>
        <row r="444">
          <cell r="D444" t="str">
            <v>0ACTBJFK80001VN</v>
          </cell>
          <cell r="E444" t="str">
            <v>Ullum</v>
          </cell>
          <cell r="F444" t="str">
            <v>https://maps.google.com/maps?q=-31.4625788%2C-68.7357511&amp;z=17&amp;hl=es</v>
          </cell>
          <cell r="G444" t="str">
            <v>https://www.google.com/maps/dir/Catamarca+Sur+664,+San+Juan/E.P.E.T.+N%C2%B0+9+Dr.+Ren%C3%A9+Favaloro,+Ull%C3%BAm,+San+Juan/Catamarca+Sur+664,+San+Juan/@-31.4974587,-68.7149995,19759m/data=!3m2!1e3!4b1!4m20!4m19!1m5!1m1!1s0x9681402690dd76eb:0x4b283f8fe10ce3f3!2m2!1d-68.5293761!2d-31.5426363!1m5!1m1!1s0x96814f96fc5f99e3:0x4221c691b4d8281!2m2!1d-68.7358184!2d-31.4629498!1m5!1m1!1s0x9681402690dd76eb:0x4b283f8fe10ce3f3!2m2!1d-68.5293761!2d-31.5426363!3e0?hl=es&amp;entry=ttu&amp;g_ep=EgoyMDI1MDczMC4wIKXMDSoASAFQAw%3D%3D</v>
          </cell>
          <cell r="H444">
            <v>66.5</v>
          </cell>
        </row>
        <row r="445">
          <cell r="D445" t="str">
            <v>0ACTBJFH900016J</v>
          </cell>
          <cell r="E445" t="str">
            <v>Zonda</v>
          </cell>
          <cell r="F445" t="str">
            <v>https://maps.google.com/maps?q=-31.5447941%2C-68.7521894&amp;z=17&amp;hl=es</v>
          </cell>
          <cell r="G445" t="str">
            <v>https://www.google.com/maps/dir/Catamarca+Sur+664,+San+Juan/Escuela+de+Educaci%C3%B3n+Secundaria+de+Zonda,+Villa+Basilio+Nievas,+San+Juan/Catamarca+Sur+664,+San+Juan/@-31.5526162,-68.7231336,19747m/data=!3m2!1e3!4b1!4m20!4m19!1m5!1m1!1s0x9681402690dd76eb:0x4b283f8fe10ce3f3!2m2!1d-68.5293761!2d-31.5426363!1m5!1m1!1s0x968149a504686189:0x1a609e358f619715!2m2!1d-68.7520866!2d-31.5446735!1m5!1m1!1s0x9681402690dd76eb:0x4b283f8fe10ce3f3!2m2!1d-68.5293761!2d-31.5426363!3e0?hl=es&amp;entry=ttu&amp;g_ep=EgoyMDI1MDczMC4wIKXMDSoASAFQAw%3D%3D</v>
          </cell>
          <cell r="H445">
            <v>50.9</v>
          </cell>
        </row>
        <row r="446">
          <cell r="D446" t="str">
            <v>0ACTBJFJ50000HK</v>
          </cell>
          <cell r="E446" t="str">
            <v>Ullum</v>
          </cell>
          <cell r="F446" t="str">
            <v>https://maps.google.com/maps?q=-31.4741429%2C-68.7461389&amp;z=17&amp;hl=es</v>
          </cell>
          <cell r="G446" t="str">
            <v>https://www.google.com/maps/dir/Catamarca+Sur+664,+San+Juan/Escuela+Benjam%C3%ADn+Lenoir+Ullum,+San+Juan/Catamarca+Sur+664,+San+Juan/@-31.5186851,-68.7202694,19754m/data=!3m2!1e3!4b1!4m20!4m19!1m5!1m1!1s0x9681402690dd76eb:0x4b283f8fe10ce3f3!2m2!1d-68.5293761!2d-31.5426363!1m5!1m1!1s0x96814ff7ff568ef1:0x9489ed8043b5cf21!2m2!1d-68.7461109!2d-31.4734854!1m5!1m1!1s0x9681402690dd76eb:0x4b283f8fe10ce3f3!2m2!1d-68.5293761!2d-31.5426363!3e0?hl=es&amp;entry=ttu&amp;g_ep=EgoyMDI1MDczMC4wIKXMDSoASAFQAw%3D%3D</v>
          </cell>
          <cell r="H446">
            <v>66.8</v>
          </cell>
        </row>
        <row r="447">
          <cell r="D447" t="str">
            <v>0ACTBJFH90000AY</v>
          </cell>
          <cell r="E447" t="str">
            <v>ZONDA</v>
          </cell>
          <cell r="F447" t="str">
            <v>https://maps.google.com/maps?q=-31.5448974%2C-68.7524737&amp;z=17&amp;hl=es</v>
          </cell>
          <cell r="G447" t="str">
            <v>https://www.google.com/maps/dir/Catamarca+Sur+664,+San+Juan/Escuela+de+Educaci%C3%B3n+Secundaria+de+Zonda,+Villa+Basilio+Nievas,+San+Juan/Catamarca+Sur+664,+San+Juan/@-31.5526162,-68.7231336,19747m/data=!3m2!1e3!4b1!4m20!4m19!1m5!1m1!1s0x9681402690dd76eb:0x4b283f8fe10ce3f3!2m2!1d-68.5293761!2d-31.5426363!1m5!1m1!1s0x968149a504686189:0x1a609e358f619715!2m2!1d-68.7520866!2d-31.5446735!1m5!1m1!1s0x9681402690dd76eb:0x4b283f8fe10ce3f3!2m2!1d-68.5293761!2d-31.5426363!3e0?hl=es&amp;entry=ttu&amp;g_ep=EgoyMDI1MDczMC4wIKXMDSoASAFQAw%3D%3D</v>
          </cell>
          <cell r="H447">
            <v>50.9</v>
          </cell>
        </row>
        <row r="448">
          <cell r="D448" t="str">
            <v>ZELLBJFK90006CF</v>
          </cell>
          <cell r="E448" t="str">
            <v>RAWSON</v>
          </cell>
          <cell r="F448" t="str">
            <v>https://maps.google.com/maps?q=-31.573901%2C-68.5385159&amp;z=17&amp;hl=es</v>
          </cell>
          <cell r="G448" t="str">
            <v>https://www.google.com/maps/dir/Catamarca+Sur+664,+San+Juan/E.P.E.T.+N%C2%B0+3,+Av.+Espa%C3%B1a+Sur+1923,+J5425+Villa+Krause,+San+Juan/Catamarca+Sur+664,+San+Juan/@-31.5572911,-68.5544302,4936m/data=!3m2!1e3!4b1!4m20!4m19!1m5!1m1!1s0x9681402690dd76eb:0x4b283f8fe10ce3f3!2m2!1d-68.5293761!2d-31.5426363!1m5!1m1!1s0x96813ff114e7199d:0x49b986385d5d5006!2m2!1d-68.538285!2d-31.5741072!1m5!1m1!1s0x9681402690dd76eb:0x4b283f8fe10ce3f3!2m2!1d-68.5293761!2d-31.5426363!3e0?hl=es&amp;entry=ttu&amp;g_ep=EgoyMDI1MDczMC4wIKXMDSoASAFQAw%3D%3D</v>
          </cell>
          <cell r="H448">
            <v>8.4</v>
          </cell>
        </row>
        <row r="449">
          <cell r="D449" t="str">
            <v>ZELLBJFJA00047D</v>
          </cell>
          <cell r="E449" t="str">
            <v>Angaco</v>
          </cell>
          <cell r="F449" t="str">
            <v>https://maps.google.com/maps?q=-31.4062711%2C-68.3834914&amp;z=17&amp;hl=es</v>
          </cell>
          <cell r="G449" t="str">
            <v>https://www.google.com/maps/dir/Catamarca+Sur+664,+San+Juan/Escuela+Juan+Jos%C3%A9+Paso,+21+de+Febrero,+San+Juan/Catamarca+Sur+664,+San+Juan/@-31.4808292,-68.5417827,19762m/data=!3m2!1e3!4b1!4m20!4m19!1m5!1m1!1s0x9681402690dd76eb:0x4b283f8fe10ce3f3!2m2!1d-68.5293761!2d-31.5426363!1m5!1m1!1s0x96816fab63b3304b:0x45a508cc0ab86fef!2m2!1d-68.3830063!2d-31.407251!1m5!1m1!1s0x9681402690dd76eb:0x4b283f8fe10ce3f3!2m2!1d-68.5293761!2d-31.5426363!3e0?hl=es&amp;entry=ttu&amp;g_ep=EgoyMDI1MDczMC4wIKXMDSoASAFQAw%3D%3D</v>
          </cell>
          <cell r="H449">
            <v>58.9</v>
          </cell>
        </row>
        <row r="450">
          <cell r="D450" t="str">
            <v>ZELLBJEJA0001RR</v>
          </cell>
          <cell r="E450" t="str">
            <v>Rawson</v>
          </cell>
          <cell r="F450" t="str">
            <v>https://maps.google.com/maps?q=-31.5737415%2C-68.537232&amp;z=17&amp;hl=es</v>
          </cell>
          <cell r="G450" t="str">
            <v>https://www.google.com/maps/dir/Catamarca+Sur+664,+San+Juan/Escuela+Antonio+de+la+Torre.,+Jos%C3%A9+Mart%C3%AD+Oeste,+J5425+Villa+Krause,+San+Juan/Catamarca+Sur+664,+San+Juan/@-31.557979,-68.5514713,4936m/data=!3m2!1e3!4b1!4m20!4m19!1m5!1m1!1s0x9681402690dd76eb:0x4b283f8fe10ce3f3!2m2!1d-68.5293761!2d-31.5426363!1m5!1m1!1s0x96813f3f0487281b:0x27d94ff4c783543f!2m2!1d-68.5372979!2d-31.5738686!1m5!1m1!1s0x9681402690dd76eb:0x4b283f8fe10ce3f3!2m2!1d-68.5293761!2d-31.5426363!3e0?hl=es&amp;entry=ttu&amp;g_ep=EgoyMDI1MDczMC4wIKXMDSoASAFQAw%3D%3D</v>
          </cell>
          <cell r="H450">
            <v>9</v>
          </cell>
        </row>
        <row r="451">
          <cell r="D451" t="str">
            <v>ZELLBJFJB00048D</v>
          </cell>
          <cell r="E451" t="str">
            <v>Rawson</v>
          </cell>
          <cell r="F451" t="str">
            <v>https://maps.google.com/maps?q=-31.563438%2C-68.5378508&amp;z=17&amp;hl=es</v>
          </cell>
          <cell r="G451" t="str">
            <v>https://www.google.com/maps/dir/Catamarca+Sur+664,+San+Juan/Escuela+11de+Septiembre+rawson+San+Juan,+Almafuerte+Oeste,+J5425+Villa+Krause,+San+Juan/Catamarca+Sur+664,+San+Juan/@-31.552509,-68.5554215,4937m/data=!3m2!1e3!4b1!4m20!4m19!1m5!1m1!1s0x9681402690dd76eb:0x4b283f8fe10ce3f3!2m2!1d-68.5293761!2d-31.5426363!1m5!1m1!1s0x9681400fb5890df9:0x1cfd1a17838907b3!2m2!1d-68.5378706!2d-31.5632944!1m5!1m1!1s0x9681402690dd76eb:0x4b283f8fe10ce3f3!2m2!1d-68.5293761!2d-31.5426363!3e0?hl=es&amp;entry=ttu&amp;g_ep=EgoyMDI1MDczMC4wIKXMDSoASAFQAw%3D%3D</v>
          </cell>
          <cell r="H451">
            <v>7</v>
          </cell>
        </row>
        <row r="452">
          <cell r="D452" t="str">
            <v>ZELLBJFK9000K6K</v>
          </cell>
          <cell r="E452" t="str">
            <v>Rawson</v>
          </cell>
          <cell r="F452" t="str">
            <v>https://maps.google.com/maps?q=-31.5958434%2C-68.5166074&amp;z=17&amp;hl=es</v>
          </cell>
          <cell r="G452" t="str">
            <v>https://www.google.com/maps/dir/Catamarca+Sur+664,+San+Juan/Escuela+Provincia+De+Chaco,+J5425,+San+Juan/Catamarca+Sur+664,+San+Juan/@-31.5686543,-68.5628656,9872m/data=!3m2!1e3!4b1!4m20!4m19!1m5!1m1!1s0x9681402690dd76eb:0x4b283f8fe10ce3f3!2m2!1d-68.5293761!2d-31.5426363!1m5!1m1!1s0x968115669b4c96f5:0x60f27418c388d4cb!2m2!1d-68.5163622!2d-31.5958458!1m5!1m1!1s0x9681402690dd76eb:0x4b283f8fe10ce3f3!2m2!1d-68.5293761!2d-31.5426363!3e0?hl=es&amp;entry=ttu&amp;g_ep=EgoyMDI1MDczMC4wIKXMDSoASAFQAw%3D%3D</v>
          </cell>
          <cell r="H452">
            <v>16.399999999999999</v>
          </cell>
        </row>
        <row r="453">
          <cell r="D453" t="str">
            <v>ZELLBJAH70000WR</v>
          </cell>
          <cell r="E453" t="str">
            <v>Angaco</v>
          </cell>
          <cell r="F453" t="str">
            <v>https://maps.google.com/maps?q=-31.4061756%2C-68.4145525&amp;z=17&amp;hl=es</v>
          </cell>
          <cell r="G453" t="str">
            <v>https://www.google.com/maps/dir/Catamarca+Sur+664,+San+Juan/Escuela+Mary+Mann,+21+de+Febrero,+San+Juan/Catamarca+Sur+664,+San+Juan/@-31.4741812,-68.557622,19763m/data=!3m1!1e3!4m20!4m19!1m5!1m1!1s0x9681402690dd76eb:0x4b283f8fe10ce3f3!2m2!1d-68.5293761!2d-31.5426363!1m5!1m1!1s0x96816f3ba3c5214d:0xff65befc46744b1b!2m2!1d-68.4146902!2d-31.4060828!1m5!1m1!1s0x9681402690dd76eb:0x4b283f8fe10ce3f3!2m2!1d-68.5293761!2d-31.5426363!3e0?hl=es&amp;entry=ttu&amp;g_ep=EgoyMDI1MDczMC4wIKXMDSoASAFQAw%3D%3D</v>
          </cell>
          <cell r="H453">
            <v>57.1</v>
          </cell>
        </row>
        <row r="454">
          <cell r="D454" t="str">
            <v>ZELLBJAH70003GN</v>
          </cell>
          <cell r="E454" t="str">
            <v>Angaco</v>
          </cell>
          <cell r="F454" t="str">
            <v>https://maps.google.com/maps?q=-31.4355614%2C-68.3805865&amp;z=17&amp;hl=es</v>
          </cell>
          <cell r="G454" t="str">
            <v>https://www.google.com/maps/dir/Catamarca+Sur+664,+San+Juan/Escuela+Capit%C3%A1n+Juan+Eugenio+de+Mallea+-+E.M.E.R.,+Calle+1+9,+San+Juan/Catamarca+Sur+664,+San+Juan/@-31.4890747,-68.5403267,19760m/data=!3m2!1e3!4b1!4m20!4m19!1m5!1m1!1s0x9681402690dd76eb:0x4b283f8fe10ce3f3!2m2!1d-68.5293761!2d-31.5426363!1m5!1m1!1s0x96816e5fee3476cf:0x6efc977c7bbffdd!2m2!1d-68.3813078!2d-31.4355676!1m5!1m1!1s0x9681402690dd76eb:0x4b283f8fe10ce3f3!2m2!1d-68.5293761!2d-31.5426363!3e0?hl=es&amp;entry=ttu&amp;g_ep=EgoyMDI1MDczMC4wIKXMDSoASAFQAw%3D%3D</v>
          </cell>
          <cell r="H454">
            <v>57</v>
          </cell>
        </row>
        <row r="455">
          <cell r="D455" t="str">
            <v>0ACTBJFHB0000DX</v>
          </cell>
          <cell r="E455" t="str">
            <v>Angaco</v>
          </cell>
          <cell r="F455" t="str">
            <v>https://maps.google.com/maps?q=-31.4540868%2C-68.4028764&amp;z=17&amp;hl=es</v>
          </cell>
          <cell r="G455" t="str">
            <v>https://www.google.com/maps/dir/Catamarca+Sur+664,+San+Juan/Escuela+Juan+Jufre,+Villa+del+Salvador,+San+Juan/Catamarca+Sur+664,+San+Juan/@-31.5041797,-68.5519,19757m/data=!3m2!1e3!4b1!4m20!4m19!1m5!1m1!1s0x9681402690dd76eb:0x4b283f8fe10ce3f3!2m2!1d-68.5293761!2d-31.5426363!1m5!1m1!1s0x96816e98f0a9c279:0x14aa8df5048a334a!2m2!1d-68.4032407!2d-31.4543625!1m5!1m1!1s0x9681402690dd76eb:0x4b283f8fe10ce3f3!2m2!1d-68.5293761!2d-31.5426363!3e0?hl=es&amp;entry=ttu&amp;g_ep=EgoyMDI1MDczMC4wIKXMDSoASAFQAw%3D%3D</v>
          </cell>
          <cell r="H455">
            <v>45</v>
          </cell>
        </row>
        <row r="456">
          <cell r="D456" t="str">
            <v>ZELLBJFJA0001RH</v>
          </cell>
          <cell r="E456" t="str">
            <v>Rawson</v>
          </cell>
          <cell r="F456" t="str">
            <v>https://maps.google.com/maps?q=-31.5659774%2C-68.5392907&amp;z=17&amp;hl=es</v>
          </cell>
          <cell r="G456" t="str">
            <v>https://www.google.com/maps/dir/Catamarca+Sur+664,+San+Juan/Candelaria+A.+De+Godoy+%2F+Leopoldo+Corretjer,+C.+Mart%C3%ADn+G%C3%BCemes+797,+J5425+Barrio+Cap.+Lazo,+San+Juan/Catamarca+Sur+664,+San+Juan/@-31.5536256,-68.5563049,4937m/data=!3m2!1e3!4b1!4m20!4m19!1m5!1m1!1s0x9681402690dd76eb:0x4b283f8fe10ce3f3!2m2!1d-68.5293761!2d-31.5426363!1m5!1m1!1s0x9681400f0317defd:0x30e319727bd9b6d3!2m2!1d-68.5393724!2d-31.5655498!1m5!1m1!1s0x9681402690dd76eb:0x4b283f8fe10ce3f3!2m2!1d-68.5293761!2d-31.5426363!3e0?hl=es&amp;entry=ttu&amp;g_ep=EgoyMDI1MDczMC4wIKXMDSoASAFQAw%3D%3D</v>
          </cell>
          <cell r="H456">
            <v>7.6</v>
          </cell>
        </row>
        <row r="457">
          <cell r="D457" t="str">
            <v>ZELLBJFK20001EP</v>
          </cell>
          <cell r="E457" t="str">
            <v>Rawson</v>
          </cell>
          <cell r="F457" t="str">
            <v>https://maps.google.com/maps?q=-31.5958868%2C-68.5166048&amp;z=17&amp;hl=es</v>
          </cell>
          <cell r="G457" t="str">
            <v>https://www.google.com/maps/dir/Catamarca+Sur+664,+San+Juan/-31.5958868,-68.5166048/Catamarca+Sur+664,+San+Juan/@-31.5686373,-68.5628656,9872m/data=!3m2!1e3!4b1!4m15!4m14!1m5!1m1!1s0x9681402690dd76eb:0x4b283f8fe10ce3f3!2m2!1d-68.5293761!2d-31.5426363!1m0!1m5!1m1!1s0x9681402690dd76eb:0x4b283f8fe10ce3f3!2m2!1d-68.5293761!2d-31.5426363!3e0?hl=es&amp;entry=ttu&amp;g_ep=EgoyMDI1MDczMC4wIKXMDSoASAFQAw%3D%3D</v>
          </cell>
          <cell r="H457">
            <v>16.2</v>
          </cell>
        </row>
        <row r="458">
          <cell r="D458" t="str">
            <v>07QWB9UFAA003ST</v>
          </cell>
          <cell r="E458" t="str">
            <v>ANGACO</v>
          </cell>
          <cell r="F458" t="str">
            <v>https://maps.google.com/maps?q=-31.4072578%2C-68.3399429&amp;z=17&amp;hl=es</v>
          </cell>
          <cell r="G458" t="str">
            <v>https://www.google.com/maps/dir/Catamarca+Sur+664,+San+Juan/HMV6%2B42+Escuela+Profesor+V%C3%ADctor+Mercante,+El+Bosque,+San+Juan/Catamarca+Sur+664,+San+Juan/@-31.4807529,-68.5201997,19762m/data=!3m2!1e3!4b1!4m20!4m19!1m5!1m1!1s0x9681402690dd76eb:0x4b283f8fe10ce3f3!2m2!1d-68.5293761!2d-31.5426363!1m5!1m1!1s0x96816f74c0f1b7e9:0x4852c7acfcd747df!2m2!1d-68.3398402!2d-31.4071899!1m5!1m1!1s0x9681402690dd76eb:0x4b283f8fe10ce3f3!2m2!1d-68.5293761!2d-31.5426363!3e0?hl=es&amp;entry=ttu&amp;g_ep=EgoyMDI1MDczMC4wIKXMDSoASAFQAw%3D%3D</v>
          </cell>
          <cell r="H458">
            <v>67.900000000000006</v>
          </cell>
        </row>
        <row r="459">
          <cell r="D459" t="str">
            <v>0ACTBJFJ500002H</v>
          </cell>
          <cell r="E459" t="str">
            <v>ANGACO (VILLA DEL SALVADOR)</v>
          </cell>
          <cell r="F459" t="str">
            <v>https://maps.google.com/maps?q=-31.4540977%2C-68.4036936&amp;z=17&amp;hl=es</v>
          </cell>
          <cell r="G459" t="str">
            <v>https://www.google.com/maps/dir/Catamarca+Sur+664,+San+Juan/E.T.C.L+Juan+de+Garay,+Segovia,+Villa+del+Salvador,+San+Juan/Catamarca+Sur+664,+San+Juan/@-31.5041797,-68.5520987,19757m/data=!3m2!1e3!4b1!4m20!4m19!1m5!1m1!1s0x9681402690dd76eb:0x4b283f8fe10ce3f3!2m2!1d-68.5293761!2d-31.5426363!1m5!1m1!1s0x96816f7af56598b3:0x1a510c2b9d0a0705!2m2!1d-68.4036878!2d-31.4542775!1m5!1m1!1s0x9681402690dd76eb:0x4b283f8fe10ce3f3!2m2!1d-68.5293761!2d-31.5426363!3e0?hl=es&amp;entry=ttu&amp;g_ep=EgoyMDI1MDczMC4wIKXMDSoASAFQAw%3D%3D</v>
          </cell>
          <cell r="H459">
            <v>44.9</v>
          </cell>
        </row>
        <row r="460">
          <cell r="D460" t="str">
            <v>ZELLBJFJA0000NH</v>
          </cell>
          <cell r="E460" t="str">
            <v>Rawson</v>
          </cell>
          <cell r="F460" t="str">
            <v>https://maps.google.com/maps?q=-31.6017223%2C-68.4659668&amp;z=17&amp;hl=es</v>
          </cell>
          <cell r="G460" t="str">
            <v>https://www.google.com/maps/dir/Catamarca+Sur+664,+San+Juan/-31.6017223,-68.4659668/Catamarca+Sur+664,+San+Juan/@-31.5716669,-68.5397638,9871m/data=!3m2!1e3!4b1!4m15!4m14!1m5!1m1!1s0x9681402690dd76eb:0x4b283f8fe10ce3f3!2m2!1d-68.5293761!2d-31.5426363!1m0!1m5!1m1!1s0x9681402690dd76eb:0x4b283f8fe10ce3f3!2m2!1d-68.5293761!2d-31.5426363!3e0?hl=es&amp;entry=ttu&amp;g_ep=EgoyMDI1MDczMC4wIKXMDSoASAFQAw%3D%3D</v>
          </cell>
          <cell r="H460">
            <v>20.8</v>
          </cell>
        </row>
        <row r="461">
          <cell r="D461" t="str">
            <v>ZELLBJAH70001XE</v>
          </cell>
          <cell r="E461" t="str">
            <v>ANGACO</v>
          </cell>
          <cell r="F461" t="str">
            <v>https://maps.google.com/maps?q=-31.4072578%2C-68.3399429&amp;z=17&amp;hl=es</v>
          </cell>
          <cell r="G461" t="str">
            <v>https://www.google.com/maps/dir/Catamarca+Sur+664,+San+Juan/HMV6%2B42+Escuela+Profesor+V%C3%ADctor+Mercante,+El+Bosque,+San+Juan/Catamarca+Sur+664,+San+Juan/@-31.4807529,-68.5201997,19762m/data=!3m2!1e3!4b1!4m20!4m19!1m5!1m1!1s0x9681402690dd76eb:0x4b283f8fe10ce3f3!2m2!1d-68.5293761!2d-31.5426363!1m5!1m1!1s0x96816f74c0f1b7e9:0x4852c7acfcd747df!2m2!1d-68.3398402!2d-31.4071899!1m5!1m1!1s0x9681402690dd76eb:0x4b283f8fe10ce3f3!2m2!1d-68.5293761!2d-31.5426363!3e0?hl=es&amp;entry=ttu&amp;g_ep=EgoyMDI1MDczMC4wIKXMDSoASAFQAw%3D%3D</v>
          </cell>
          <cell r="H461">
            <v>67.900000000000006</v>
          </cell>
        </row>
        <row r="462">
          <cell r="D462" t="str">
            <v>ZELLBJFJA00018A</v>
          </cell>
          <cell r="E462" t="str">
            <v>Albardón</v>
          </cell>
          <cell r="F462" t="str">
            <v>https://maps.google.com/maps?q=-31.4277298%2C-68.5287693&amp;z=17&amp;hl=es</v>
          </cell>
          <cell r="G462" t="str">
            <v>https://www.google.com/maps/dir/Catamarca+Sur+664,+San+Juan/Escuela+Provincia+de+Jujuy,+Nacional,+J5419+Villa+Gral.+San+Martin,+San+Juan/Catamarca+Sur+664,+San+Juan/@-31.491174,-68.601825,19760m/data=!3m2!1e3!4b1!4m20!4m19!1m5!1m1!1s0x9681402690dd76eb:0x4b283f8fe10ce3f3!2m2!1d-68.5293761!2d-31.5426363!1m5!1m1!1s0x968143e601bdcb69:0x96cfe5a73b3b6121!2m2!1d-68.5290139!2d-31.4276884!1m5!1m1!1s0x9681402690dd76eb:0x4b283f8fe10ce3f3!2m2!1d-68.5293761!2d-31.5426363!3e0?hl=es&amp;entry=ttu&amp;g_ep=EgoyMDI1MDczMC4wIKXMDSoASAFQAw%3D%3D</v>
          </cell>
          <cell r="H462">
            <v>34.6</v>
          </cell>
        </row>
        <row r="463">
          <cell r="D463" t="str">
            <v>ZELLBJFK30005GR</v>
          </cell>
          <cell r="E463" t="str">
            <v>Albardón</v>
          </cell>
          <cell r="F463" t="str">
            <v>https://maps.google.com/maps?q=-31.4320879%2C-68.4949091&amp;z=17&amp;hl=es</v>
          </cell>
          <cell r="G463" t="str">
            <v>https://www.google.com/maps/dir/Catamarca+Sur+664,+San+Juan/E.P.E.T.+N%C2%B0+1+Albard%C3%B3n,+J5419+Albard%C3%B3n,+San+Juan/Catamarca+Sur+664,+San+Juan/@-31.4931316,-68.5975035,19759m/data=!3m2!1e3!4b1!4m20!4m19!1m5!1m1!1s0x9681402690dd76eb:0x4b283f8fe10ce3f3!2m2!1d-68.5293761!2d-31.5426363!1m5!1m1!1s0x9681684c7c3522bf:0xeb466b022a9e1c91!2m2!1d-68.494477!2d-31.4317305!1m5!1m1!1s0x9681402690dd76eb:0x4b283f8fe10ce3f3!2m2!1d-68.5293761!2d-31.5426363!3e0?hl=es&amp;entry=ttu&amp;g_ep=EgoyMDI1MDczMC4wIKXMDSoASAFQAw%3D%3D</v>
          </cell>
          <cell r="H463">
            <v>36.9</v>
          </cell>
        </row>
        <row r="464">
          <cell r="D464" t="str">
            <v>ZELLBJEK30000DX</v>
          </cell>
          <cell r="E464" t="str">
            <v>Albardón</v>
          </cell>
          <cell r="F464" t="str">
            <v>https://maps.google.com/maps?q=-31.4380433%2C-68.5216777&amp;z=17&amp;hl=es</v>
          </cell>
          <cell r="G464" t="str">
            <v>https://www.google.com/maps/dir/Catamarca+Sur+664,+San+Juan/Escuela+Juan+Mantovani,+J5419+Villa+Gral.+San+Martin,+San+Juan/Catamarca+Sur+664,+San+Juan/@-31.4964261,-68.601825,19759m/data=!3m2!1e3!4b1!4m20!4m19!1m5!1m1!1s0x9681402690dd76eb:0x4b283f8fe10ce3f3!2m2!1d-68.5293761!2d-31.5426363!1m5!1m1!1s0x9681682ae023d839:0x2b200dd667c762d2!2m2!1d-68.5219807!2d-31.4381874!1m5!1m1!1s0x9681402690dd76eb:0x4b283f8fe10ce3f3!2m2!1d-68.5293761!2d-31.5426363!3e0?hl=es&amp;entry=ttu&amp;g_ep=EgoyMDI1MDczMC4wIKXMDSoASAFQAw%3D%3D</v>
          </cell>
          <cell r="H464">
            <v>31.4</v>
          </cell>
        </row>
        <row r="465">
          <cell r="D465" t="str">
            <v>793PZHW</v>
          </cell>
          <cell r="E465" t="str">
            <v>San Martin</v>
          </cell>
          <cell r="F465" t="str">
            <v>https://maps.google.com/maps?q=-31.5172952%2C-68.3519668&amp;z=17&amp;hl=es</v>
          </cell>
          <cell r="G465" t="str">
            <v>https://www.google.com/maps/dir/Catamarca+Sur+664,+San+Juan/Escuela+Alejandro+Mar%C3%ADa+de+Aguado,+5439,+Villa+San+Mart%C3%ADn,+San+Juan/Catamarca+Sur+664,+San+Juan/@-31.5435264,-68.5239823,19749m/data=!3m2!1e3!4b1!4m20!4m19!1m5!1m1!1s0x9681402690dd76eb:0x4b283f8fe10ce3f3!2m2!1d-68.5293761!2d-31.5426363!1m5!1m1!1s0x96816d6a1efb13b1:0x6bd2b0bbc59046d3!2m2!1d-68.3520742!2d-31.5173582!1m5!1m1!1s0x9681402690dd76eb:0x4b283f8fe10ce3f3!2m2!1d-68.5293761!2d-31.5426363!3e0?hl=es&amp;entry=ttu&amp;g_ep=EgoyMDI1MDczMC4wIKXMDSoASAFQAw%3D%3D</v>
          </cell>
          <cell r="H465">
            <v>44.7</v>
          </cell>
        </row>
        <row r="466">
          <cell r="D466" t="str">
            <v>07QWB9UFAA00AMN</v>
          </cell>
          <cell r="E466" t="str">
            <v>San Martín</v>
          </cell>
          <cell r="F466" t="str">
            <v>https://maps.google.com/maps?q=-31.5546854%2C-68.3279292&amp;z=17&amp;hl=es</v>
          </cell>
          <cell r="G466" t="str">
            <v>https://www.google.com/maps/dir/Catamarca+Sur+664,+San+Juan/Escuela+Echegaray+De+Andino,+20+de+Junio+80,+Villa+Don+Bosco,+San+Juan/Catamarca+Sur+664,+San+Juan/@-31.5464371,-68.5116335,19748m/data=!3m2!1e3!4b1!4m20!4m19!1m5!1m1!1s0x9681402690dd76eb:0x4b283f8fe10ce3f3!2m2!1d-68.5293761!2d-31.5426363!1m5!1m1!1s0x96810d5c29d05e2d:0x221657a93fcb0238!2m2!1d-68.3279297!2d-31.5543964!1m5!1m1!1s0x9681402690dd76eb:0x4b283f8fe10ce3f3!2m2!1d-68.5293761!2d-31.5426363!3e0?hl=es&amp;entry=ttu&amp;g_ep=EgoyMDI1MDczMC4wIKXMDSoASAFQAw%3D%3D</v>
          </cell>
          <cell r="H466">
            <v>50.7</v>
          </cell>
        </row>
        <row r="467">
          <cell r="D467" t="str">
            <v>ZELLBJFK20007FR</v>
          </cell>
          <cell r="E467" t="str">
            <v>SAN MARTIN</v>
          </cell>
          <cell r="F467" t="str">
            <v>https://maps.google.com/maps?q=-31.492625%2C-68.3008783&amp;z=17&amp;hl=es</v>
          </cell>
          <cell r="G467" t="str">
            <v>https://www.google.com/maps/dir/Catamarca+Sur+664,+San+Juan/Escuela+Antonio+Pulenta,+Independencia,+San+Juan/Catamarca+Sur+664,+San+Juan/@-31.516338,-68.4980917,19755m/data=!3m2!1e3!4b1!4m20!4m19!1m5!1m1!1s0x9681402690dd76eb:0x4b283f8fe10ce3f3!2m2!1d-68.5293761!2d-31.5426363!1m5!1m1!1s0x968173fc49bf804f:0xaf26ce92df06c5ad!2m2!1d-68.3006094!2d-31.4924166!1m5!1m1!1s0x9681402690dd76eb:0x4b283f8fe10ce3f3!2m2!1d-68.5293761!2d-31.5426363!3e0?hl=es&amp;entry=ttu&amp;g_ep=EgoyMDI1MDczMC4wIKXMDSoASAFQAw%3D%3D</v>
          </cell>
          <cell r="H467">
            <v>58.2</v>
          </cell>
        </row>
        <row r="468">
          <cell r="D468" t="str">
            <v>ZELLBJFJA0001JZ</v>
          </cell>
          <cell r="E468" t="str">
            <v>San Martin</v>
          </cell>
          <cell r="F468" t="str">
            <v>https://maps.google.com/maps?q=-31.5198331%2C-68.3785244&amp;z=17&amp;hl=es</v>
          </cell>
          <cell r="G468" t="str">
            <v>https://www.google.com/maps/dir/Catamarca+Sur+664,+San+Juan/Escuela+Julio+Verne,+San+Juan/Catamarca+Sur+664,+San+Juan/@-31.54476,-68.5372226,19749m/data=!3m2!1e3!4b1!4m20!4m19!1m5!1m1!1s0x9681402690dd76eb:0x4b283f8fe10ce3f3!2m2!1d-68.5293761!2d-31.5426363!1m5!1m1!1s0x96816d1ef85b1557:0x2682c982d783bb50!2m2!1d-68.3785236!2d-31.5197679!1m5!1m1!1s0x9681402690dd76eb:0x4b283f8fe10ce3f3!2m2!1d-68.5293761!2d-31.5426363!3e0?hl=es&amp;entry=ttu&amp;g_ep=EgoyMDI1MDczMC4wIKXMDSoASAFQAw%3D%3D</v>
          </cell>
          <cell r="H468">
            <v>39.700000000000003</v>
          </cell>
        </row>
        <row r="469">
          <cell r="D469" t="str">
            <v>07QWB9UG2A002RM</v>
          </cell>
          <cell r="E469" t="str">
            <v>SAN MARTIN</v>
          </cell>
          <cell r="F469" t="str">
            <v>https://maps.google.com/maps?q=-31.5546588%2C-68.3280309&amp;z=17&amp;hl=es</v>
          </cell>
          <cell r="G469" t="str">
            <v>https://www.google.com/maps/dir/Catamarca+Sur+664,+San+Juan/Escuela+Echegaray+De+Andino,+20+de+Junio+80,+Villa+Don+Bosco,+San+Juan/Catamarca+Sur+664,+San+Juan/@-31.5464371,-68.5116335,19748m/data=!3m2!1e3!4b1!4m20!4m19!1m5!1m1!1s0x9681402690dd76eb:0x4b283f8fe10ce3f3!2m2!1d-68.5293761!2d-31.5426363!1m5!1m1!1s0x96810d5c29d05e2d:0x221657a93fcb0238!2m2!1d-68.3279297!2d-31.5543964!1m5!1m1!1s0x9681402690dd76eb:0x4b283f8fe10ce3f3!2m2!1d-68.5293761!2d-31.5426363!3e0?hl=es&amp;entry=ttu&amp;g_ep=EgoyMDI1MDczMC4wIKXMDSoASAFQAw%3D%3D</v>
          </cell>
          <cell r="H469">
            <v>50.7</v>
          </cell>
        </row>
        <row r="470">
          <cell r="D470" t="str">
            <v>ZELLBJFJA0001QV</v>
          </cell>
          <cell r="E470" t="str">
            <v>ALBARDON</v>
          </cell>
          <cell r="F470" t="str">
            <v>https://maps.google.com/maps?q=-31.4223197%2C-68.5460519&amp;z=17&amp;hl=es</v>
          </cell>
          <cell r="G470" t="str">
            <v>https://www.google.com/maps/dir/Catamarca+Sur+664,+San+Juan/Escuela+Nocturna+Juan+E.+Seru,+Albard%C3%B3n,+San+Juan/Catamarca+Sur+664,+San+Juan/@-31.4819005,-68.6143858,19762m/data=!3m1!1e3!4m20!4m19!1m5!1m1!1s0x9681402690dd76eb:0x4b283f8fe10ce3f3!2m2!1d-68.5293761!2d-31.5426363!1m5!1m1!1s0x9681429581ee2801:0xe8b9248c4fb752ca!2m2!1d-68.5459641!2d-31.4221701!1m5!1m1!1s0x9681402690dd76eb:0x4b283f8fe10ce3f3!2m2!1d-68.5293761!2d-31.5426363!3e0?hl=es&amp;entry=ttu&amp;g_ep=EgoyMDI1MDczMC4wIKXMDSoASAFQAw%3D%3D</v>
          </cell>
          <cell r="H470">
            <v>37.6</v>
          </cell>
        </row>
        <row r="471">
          <cell r="D471" t="str">
            <v>ZELLBJAH700014Z</v>
          </cell>
          <cell r="E471" t="str">
            <v>SAN MARTIN (Los COmpartos)</v>
          </cell>
          <cell r="F471" t="str">
            <v>https://maps.app.goo.gl/NfpFM3tWjRxv8xhx9</v>
          </cell>
          <cell r="G471" t="str">
            <v>https://www.google.com/maps/dir/Catamarca+Sur+664,+San+Juan/Escuela+Horacio+Mann,+San+Mart%C3%ADn,+San+Juan/Catamarca+Sur+664,+San+Juan/@-31.5480626,-68.5183879,19748m/data=!3m2!1e3!4b1!4m20!4m19!1m5!1m1!1s0x9681402690dd76eb:0x4b283f8fe10ce3f3!2m2!1d-68.5293761!2d-31.5426363!1m5!1m1!1s0x968113503418ec1f:0x1782075ec1ad2476!2m2!1d-68.3474697!2d-31.571975!1m5!1m1!1s0x9681402690dd76eb:0x4b283f8fe10ce3f3!2m2!1d-68.5293761!2d-31.5426363!3e0?hl=es&amp;entry=ttu&amp;g_ep=EgoyMDI1MDczMC4wIKXMDSoASAFQAw%3D%3D</v>
          </cell>
          <cell r="H471">
            <v>53.3</v>
          </cell>
        </row>
        <row r="472">
          <cell r="D472" t="str">
            <v>ZELLBJFJB0007AM</v>
          </cell>
          <cell r="E472" t="str">
            <v>Rawson</v>
          </cell>
          <cell r="F472" t="str">
            <v>https://maps.google.com/maps?q=-31.563438%2C-68.5380833&amp;z=17&amp;hl=es</v>
          </cell>
          <cell r="G472" t="str">
            <v>https://www.google.com/maps/dir/Catamarca+Sur+664,+San+Juan/Escuela+11de+Septiembre+rawson+San+Juan,+Almafuerte+Oeste,+J5425+Villa+Krause,+San+Juan/Catamarca+Sur+664,+San+Juan/@-31.552509,-68.5554215,4937m/data=!3m2!1e3!4b1!4m20!4m19!1m5!1m1!1s0x9681402690dd76eb:0x4b283f8fe10ce3f3!2m2!1d-68.5293761!2d-31.5426363!1m5!1m1!1s0x9681400fb5890df9:0x1cfd1a17838907b3!2m2!1d-68.5378706!2d-31.5632944!1m5!1m1!1s0x9681402690dd76eb:0x4b283f8fe10ce3f3!2m2!1d-68.5293761!2d-31.5426363!3e0?hl=es&amp;entry=ttu&amp;g_ep=EgoyMDI1MDczMC4wIKXMDSoASAFQAw%3D%3D</v>
          </cell>
          <cell r="H472">
            <v>7</v>
          </cell>
        </row>
        <row r="473">
          <cell r="D473" t="str">
            <v>ZELLBJEJA0002FD</v>
          </cell>
          <cell r="E473" t="str">
            <v>SARMIENTO (Las Lagunas)</v>
          </cell>
          <cell r="F473" t="str">
            <v>https://maps.google.com/maps?q=-32.0432816%2C-68.3676055&amp;z=17&amp;hl=es</v>
          </cell>
          <cell r="G473" t="str">
            <v>https://www.google.com/maps/dir/Catamarca+Sur+664,+San+Juan/Escuela+Albergue+Domingo+French,+San+Juan/Catamarca+Sur+664,+San+Juan/@-31.7912395,-68.793944,78785m/data=!3m2!1e3!4b1!4m20!4m19!1m5!1m1!1s0x9681402690dd76eb:0x4b283f8fe10ce3f3!2m2!1d-68.5293761!2d-31.5426363!1m5!1m1!1s0x9680e56d76918cf3:0x640b1c4f2edb1934!2m2!1d-68.3677308!2d-32.0431676!1m5!1m1!1s0x9681402690dd76eb:0x4b283f8fe10ce3f3!2m2!1d-68.5293761!2d-31.5426363!3e0?hl=es&amp;entry=ttu&amp;g_ep=EgoyMDI1MDczMC4wIKXMDSoASAFQAw%3D%3D</v>
          </cell>
          <cell r="H473">
            <v>135</v>
          </cell>
        </row>
        <row r="474">
          <cell r="D474" t="str">
            <v>ZELLBJEK300010R</v>
          </cell>
          <cell r="E474" t="str">
            <v>Albardón</v>
          </cell>
          <cell r="F474" t="str">
            <v>https://maps.google.com/maps?q=-31.3782191%2C-68.4752335&amp;z=17&amp;hl=es</v>
          </cell>
          <cell r="G474" t="str">
            <v>https://www.google.com/maps/dir/Catamarca+Sur+664,+San+Juan/Escuela+Ej%C3%A9rcito+De+Los+Andes,+Albard%C3%B3n,+San+Juan/Catamarca+Sur+664,+San+Juan/@-31.4661766,-68.670234,39530m/data=!3m2!1e3!4b1!4m20!4m19!1m5!1m1!1s0x9681402690dd76eb:0x4b283f8fe10ce3f3!2m2!1d-68.5293761!2d-31.5426363!1m5!1m1!1s0x9681662d6af9331b:0x1f50999124eb07f5!2m2!1d-68.4753197!2d-31.378149!1m5!1m1!1s0x9681402690dd76eb:0x4b283f8fe10ce3f3!2m2!1d-68.5293761!2d-31.5426363!3e0?hl=es&amp;entry=ttu&amp;g_ep=EgoyMDI1MDczMC4wIKXMDSoASAFQAw%3D%3D</v>
          </cell>
          <cell r="H474">
            <v>49.5</v>
          </cell>
        </row>
        <row r="475">
          <cell r="D475" t="str">
            <v>07QWB9UG6A005RN</v>
          </cell>
          <cell r="E475" t="str">
            <v>Chimbas</v>
          </cell>
          <cell r="F475" t="str">
            <v>https://maps.google.com/maps?q=-31.4797977%2C-68.5317908&amp;z=17&amp;hl=es</v>
          </cell>
          <cell r="G475" t="str">
            <v>https://www.google.com/maps/dir/Catamarca+Sur+664,+San+Juan/Provincia+de+la+Rioja,+Mendoza+Nte.,+J5413+San+Juan/Catamarca+Sur+664,+San+Juan/@-31.5167635,-68.5606227,9877m/data=!3m2!1e3!4b1!4m20!4m19!1m5!1m1!1s0x9681402690dd76eb:0x4b283f8fe10ce3f3!2m2!1d-68.5293761!2d-31.5426363!1m5!1m1!1s0x968143d9672fe10f:0xd4ab182317c85b11!2m2!1d-68.5318656!2d-31.4797568!1m5!1m1!1s0x9681402690dd76eb:0x4b283f8fe10ce3f3!2m2!1d-68.5293761!2d-31.5426363!3e0?hl=es&amp;entry=ttu&amp;g_ep=EgoyMDI1MDczMC4wIKXMDSoASAFQAw%3D%3D</v>
          </cell>
          <cell r="H475">
            <v>24.7</v>
          </cell>
        </row>
        <row r="476">
          <cell r="D476" t="str">
            <v>ZELLBJFK200038X</v>
          </cell>
          <cell r="E476" t="str">
            <v>Chimbas</v>
          </cell>
          <cell r="F476" t="str">
            <v>https://maps.google.com/maps?q=-31.465227%2C-68.5186184&amp;z=17&amp;hl=es</v>
          </cell>
          <cell r="G476" t="str">
            <v>https://www.google.com/maps/dir/Catamarca+Sur+664,+San+Juan/Escuela+Rep.+de+Chile+Primaria,+Chimbas,+San+Juan/Catamarca+Sur+664,+San+Juan/@-31.5098239,-68.601825,19756m/data=!3m2!1e3!4b1!4m20!4m19!1m5!1m1!1s0x9681402690dd76eb:0x4b283f8fe10ce3f3!2m2!1d-68.5293761!2d-31.5426363!1m5!1m1!1s0x968169349bd76d71:0x19f655e359820868!2m2!1d-68.5186625!2d-31.4653375!1m5!1m1!1s0x9681402690dd76eb:0x4b283f8fe10ce3f3!2m2!1d-68.5293761!2d-31.5426363!3e0?hl=es&amp;entry=ttu&amp;g_ep=EgoyMDI1MDczMC4wIKXMDSoASAFQAw%3D%3D</v>
          </cell>
          <cell r="H476">
            <v>25.4</v>
          </cell>
        </row>
        <row r="477">
          <cell r="D477" t="str">
            <v>ZELLBJFJB00041M</v>
          </cell>
          <cell r="E477" t="str">
            <v>Sarmiento</v>
          </cell>
          <cell r="F477" t="str">
            <v>https://maps.google.com/maps?q=-32.0206308%2C-68.3926794&amp;z=17&amp;hl=es</v>
          </cell>
          <cell r="G477" t="str">
            <v>https://www.google.com/maps/dir/Catamarca+Sur+664,+San+Juan/Escuela+Comandante+Luis+Piedrabuena,+Circuito+Fiorito+S%2FN,+San+Juan/Catamarca+Sur+664,+San+Juan/@-31.7804865,-68.8062739,78794m/data=!3m2!1e3!4b1!4m20!4m19!1m5!1m1!1s0x9681402690dd76eb:0x4b283f8fe10ce3f3!2m2!1d-68.5293761!2d-31.5426363!1m5!1m1!1s0x9680e52a7d7aaa69:0xadae6eccd5bd39b7!2m2!1d-68.3926107!2d-32.0206208!1m5!1m1!1s0x9681402690dd76eb:0x4b283f8fe10ce3f3!2m2!1d-68.5293761!2d-31.5426363!3e0?hl=es&amp;entry=ttu&amp;g_ep=EgoyMDI1MDczMC4wIKXMDSoASAFQAw%3D%3D</v>
          </cell>
          <cell r="H477">
            <v>126</v>
          </cell>
        </row>
        <row r="478">
          <cell r="D478" t="str">
            <v>ZELLBJEJA0002DM</v>
          </cell>
          <cell r="E478" t="str">
            <v>Sarmiento</v>
          </cell>
          <cell r="F478" t="str">
            <v>https://maps.app.goo.gl/MBWPYWK7KF1EPnDY7</v>
          </cell>
          <cell r="G478" t="str">
            <v>https://www.google.com/maps/dir/Catamarca+Sur+664,+San+Juan/ESCUELA+PAULO+VI,+San+Juan/Catamarca+Sur+664,+San+Juan/@-31.7263465,-68.796318,78840m/data=!3m2!1e3!4b1!4m20!4m19!1m5!1m1!1s0x9681402690dd76eb:0x4b283f8fe10ce3f3!2m2!1d-68.5293761!2d-31.5426363!1m5!1m1!1s0x9680e2f2d73801e3:0x5f906cc95a48abf5!2m2!1d-68.3724331!2d-31.9133599!1m5!1m1!1s0x9681402690dd76eb:0x4b283f8fe10ce3f3!2m2!1d-68.5293761!2d-31.5426363!3e0?hl=es&amp;entry=ttu&amp;g_ep=EgoyMDI1MDczMC4wIKXMDSoASAFQAw%3D%3D</v>
          </cell>
          <cell r="H478">
            <v>115</v>
          </cell>
        </row>
        <row r="479">
          <cell r="D479" t="str">
            <v>ZELLBJEJ40001ZP</v>
          </cell>
          <cell r="E479" t="str">
            <v>SARMIENTO</v>
          </cell>
          <cell r="F479" t="str">
            <v>https://maps.google.com/maps?q=-31.903131%2C-68.4744445&amp;z=17&amp;hl=es</v>
          </cell>
          <cell r="G479" t="str">
            <v>https://www.google.com/maps/dir/Catamarca+Sur+664,+San+Juan/Escuela+Juan+Eugenio+Ser%C3%BA,+San+M.+del+Carril,+El+Fical,+San+Juan/Catamarca+Sur+664,+San+Juan/@-31.7228549,-68.8473198,78843m/data=!3m2!1e3!4b1!4m20!4m19!1m5!1m1!1s0x9681402690dd76eb:0x4b283f8fe10ce3f3!2m2!1d-68.5293761!2d-31.5426363!1m5!1m1!1s0x96811e2c7b8d7e75:0xb14c832b5cc923d6!2m2!1d-68.4744617!2d-31.9027896!1m5!1m1!1s0x9681402690dd76eb:0x4b283f8fe10ce3f3!2m2!1d-68.5293761!2d-31.5426363!3e0?hl=es&amp;entry=ttu&amp;g_ep=EgoyMDI1MDczMC4wIKXMDSoASAFQAw%3D%3D</v>
          </cell>
          <cell r="H479">
            <v>93.7</v>
          </cell>
        </row>
        <row r="480">
          <cell r="D480" t="str">
            <v>07QWB9UFAA001JX</v>
          </cell>
          <cell r="E480" t="str">
            <v>SARMIENTO (Cochagual)</v>
          </cell>
          <cell r="F480" t="str">
            <v>https://maps.google.com/maps?q=-31.8935446%2C-68.4165587&amp;z=17&amp;hl=es</v>
          </cell>
          <cell r="G480" t="str">
            <v>https://www.google.com/maps/dir/Catamarca+Sur+664,+San+Juan/Escuela+Enrique+Larreta,+San+Juan/Catamarca+Sur+664,+San+Juan/@-31.7166715,-68.8183174,78848m/data=!3m2!1e3!4b1!4m20!4m19!1m5!1m1!1s0x9681402690dd76eb:0x4b283f8fe10ce3f3!2m2!1d-68.5293761!2d-31.5426363!1m5!1m1!1s0x96811dfa1c33b1a9:0x6c541e027021b141!2m2!1d-68.4164345!2d-31.8934049!1m5!1m1!1s0x9681402690dd76eb:0x4b283f8fe10ce3f3!2m2!1d-68.5293761!2d-31.5426363!3e0?hl=es&amp;entry=ttu&amp;g_ep=EgoyMDI1MDczMC4wIKXMDSoASAFQAw%3D%3D</v>
          </cell>
          <cell r="H480">
            <v>102</v>
          </cell>
        </row>
        <row r="481">
          <cell r="D481" t="str">
            <v>ZELLBJFK50002ME</v>
          </cell>
          <cell r="E481" t="str">
            <v>CHIMBAS</v>
          </cell>
          <cell r="F481" t="str">
            <v>https://maps.google.com/maps?q=-31.4766748%2C-68.5116193&amp;z=17&amp;hl=es</v>
          </cell>
          <cell r="G481" t="str">
            <v>https://www.google.com/maps/dir/Catamarca+Sur+664,+San+Juan/Escuela+Paso+de+Valle+Hermoso,+J5413+Chimbas,+San+Juan/Catamarca+Sur+664,+San+Juan/@-31.5156317,-68.5606227,9877m/data=!3m2!1e3!4b1!4m20!4m19!1m5!1m1!1s0x9681402690dd76eb:0x4b283f8fe10ce3f3!2m2!1d-68.5293761!2d-31.5426363!1m5!1m1!1s0x968169f746cc1a93:0x286c601e2bf08909!2m2!1d-68.511553!2d-31.4767555!1m5!1m1!1s0x9681402690dd76eb:0x4b283f8fe10ce3f3!2m2!1d-68.5293761!2d-31.5426363!3e0?hl=es&amp;entry=ttu&amp;g_ep=EgoyMDI1MDczMC4wIKXMDSoASAFQAw%3D%3D</v>
          </cell>
          <cell r="H481">
            <v>23.8</v>
          </cell>
        </row>
        <row r="482">
          <cell r="D482" t="str">
            <v>07QWB9UFAA0025M</v>
          </cell>
          <cell r="E482" t="str">
            <v>SARMIENTO (Colonia Fiscal)</v>
          </cell>
          <cell r="F482" t="str">
            <v>https://maps.google.com/maps?q=-31.903223%2C-68.4744356&amp;z=17&amp;hl=es</v>
          </cell>
          <cell r="G482" t="str">
            <v>https://www.google.com/maps/dir/Catamarca+Sur+664,+San+Juan/Escuela+Juan+Eugenio+Ser%C3%BA,+San+M.+del+Carril,+El+Fical,+San+Juan/Catamarca+Sur+664,+San+Juan/@-31.7228549,-68.8473198,78843m/data=!3m2!1e3!4b1!4m20!4m19!1m5!1m1!1s0x9681402690dd76eb:0x4b283f8fe10ce3f3!2m2!1d-68.5293761!2d-31.5426363!1m5!1m1!1s0x96811e2c7b8d7e75:0xb14c832b5cc923d6!2m2!1d-68.4744617!2d-31.9027896!1m5!1m1!1s0x9681402690dd76eb:0x4b283f8fe10ce3f3!2m2!1d-68.5293761!2d-31.5426363!3e0?hl=es&amp;entry=ttu&amp;g_ep=EgoyMDI1MDczMC4wIKXMDSoASAFQAw%3D%3D</v>
          </cell>
          <cell r="H482">
            <v>93.7</v>
          </cell>
        </row>
        <row r="483">
          <cell r="D483" t="str">
            <v>ZELLBJFJB0005MB</v>
          </cell>
          <cell r="E483" t="str">
            <v>SARMIENTO</v>
          </cell>
          <cell r="F483" t="str">
            <v>https://maps.google.com/maps?q=-31.903167%2C-68.4744508&amp;z=17&amp;hl=es</v>
          </cell>
          <cell r="G483" t="str">
            <v>https://www.google.com/maps/dir/Catamarca+Sur+664,+San+Juan/Escuela+Juan+Eugenio+Ser%C3%BA,+San+M.+del+Carril,+El+Fical,+San+Juan/Catamarca+Sur+664,+San+Juan/@-31.7228549,-68.8473198,78843m/data=!3m2!1e3!4b1!4m20!4m19!1m5!1m1!1s0x9681402690dd76eb:0x4b283f8fe10ce3f3!2m2!1d-68.5293761!2d-31.5426363!1m5!1m1!1s0x96811e2c7b8d7e75:0xb14c832b5cc923d6!2m2!1d-68.4744617!2d-31.9027896!1m5!1m1!1s0x9681402690dd76eb:0x4b283f8fe10ce3f3!2m2!1d-68.5293761!2d-31.5426363!3e0?hl=es&amp;entry=ttu&amp;g_ep=EgoyMDI1MDczMC4wIKXMDSoASAFQAw%3D%3D</v>
          </cell>
          <cell r="H483">
            <v>93.7</v>
          </cell>
        </row>
        <row r="484">
          <cell r="D484" t="str">
            <v>ZELLBJFK9000ARM</v>
          </cell>
          <cell r="E484" t="str">
            <v>Rawson</v>
          </cell>
          <cell r="F484" t="str">
            <v>https://maps.google.com/maps?q=-31.5634885%2C-68.5207172&amp;z=17&amp;hl=es</v>
          </cell>
          <cell r="G484" t="str">
            <v>https://www.google.com/maps/dir/Catamarca+Sur+664,+San+Juan/Escuela+Mary+O.+Graham,+Tte.+Iba%C3%B1ez+230,+J5425+Barrio+Edilco,+San+Juan/Catamarca+Sur+664,+San+Juan/@-31.552899,-68.5435656,4937m/data=!3m2!1e3!4b1!4m20!4m19!1m5!1m1!1s0x9681402690dd76eb:0x4b283f8fe10ce3f3!2m2!1d-68.5293761!2d-31.5426363!1m5!1m1!1s0x96816aa95dfed4f1:0x710c587728612ded!2m2!1d-68.5202409!2d-31.5638216!1m5!1m1!1s0x9681402690dd76eb:0x4b283f8fe10ce3f3!2m2!1d-68.5293761!2d-31.5426363!3e0?hl=es&amp;entry=ttu&amp;g_ep=EgoyMDI1MDczMC4wIKXMDSoASAFQAw%3D%3D</v>
          </cell>
          <cell r="H484">
            <v>7</v>
          </cell>
        </row>
        <row r="485">
          <cell r="D485" t="str">
            <v>ZELLBJFJ900015J</v>
          </cell>
          <cell r="E485" t="str">
            <v>Chimbas</v>
          </cell>
          <cell r="F485" t="str">
            <v>https://maps.google.com/maps?q=-31.5058009%2C-68.5226825&amp;z=17&amp;hl=es</v>
          </cell>
          <cell r="G485" t="str">
            <v>https://www.google.com/maps/dir/Catamarca+Sur+664,+San+Juan/Escuela+Ingenieros+de+San+Juan,+Ameghino+Este+795,+J5413+Chimbas,+San+Juan/Catamarca+Sur+664,+San+Juan/@-31.524478,-68.5470469,4938m/data=!3m2!1e3!4b1!4m20!4m19!1m5!1m1!1s0x9681402690dd76eb:0x4b283f8fe10ce3f3!2m2!1d-68.5293761!2d-31.5426363!1m5!1m1!1s0x96816a753cdaa543:0x218c57a595b7b36!2m2!1d-68.5223893!2d-31.5059554!1m5!1m1!1s0x9681402690dd76eb:0x4b283f8fe10ce3f3!2m2!1d-68.5293761!2d-31.5426363!3e0?hl=es&amp;entry=ttu&amp;g_ep=EgoyMDI1MDczMC4wIKXMDSoASAFQAw%3D%3D</v>
          </cell>
          <cell r="H485">
            <v>10.5</v>
          </cell>
        </row>
        <row r="486">
          <cell r="D486" t="str">
            <v>ZELLBJEJ500035L</v>
          </cell>
          <cell r="E486" t="str">
            <v>Chimbas</v>
          </cell>
          <cell r="F486" t="str">
            <v>https://maps.google.com/maps?q=-31.5010796%2C-68.5088475&amp;z=17&amp;hl=es</v>
          </cell>
          <cell r="G486" t="str">
            <v>https://www.google.com/maps/dir/Catamarca+Sur+664,+San+Juan/Escuela+Welfried+Salinas,+Necochea+1108,+J5413+Chimbas,+San+Juan/Catamarca+Sur+664,+San+Juan/@-31.527894,-68.5606267,9876m/data=!3m2!1e3!4b1!4m20!4m19!1m5!1m1!1s0x9681402690dd76eb:0x4b283f8fe10ce3f3!2m2!1d-68.5293761!2d-31.5426363!1m5!1m1!1s0x96816a1315ce0853:0x86d251b84c471cb9!2m2!1d-68.5086433!2d-31.5009423!1m5!1m1!1s0x9681402690dd76eb:0x4b283f8fe10ce3f3!2m2!1d-68.5293761!2d-31.5426363!3e0?hl=es&amp;entry=ttu&amp;g_ep=EgoyMDI1MDczMC4wIKXMDSoASAFQAw%3D%3D</v>
          </cell>
          <cell r="H486">
            <v>16.7</v>
          </cell>
        </row>
        <row r="487">
          <cell r="D487" t="str">
            <v>0ACTBJFJ50003SK</v>
          </cell>
          <cell r="E487" t="str">
            <v>San Martin</v>
          </cell>
          <cell r="F487" t="str">
            <v>https://maps.google.com/maps?q=-31.4688063%2C-68.44119&amp;z=17&amp;hl=es</v>
          </cell>
          <cell r="G487" t="str">
            <v>https://www.google.com/maps/dir/Catamarca+Sur+664,+San+Juan/Escuela+Combate+de+San+Lorenzo+%22EMER%22,+San+Mart%C3%ADn,+San+Juan/Catamarca+Sur+664,+San+Juan/@-31.5116167,-68.5662753,19756m/data=!3m2!1e3!4b1!4m20!4m19!1m5!1m1!1s0x9681402690dd76eb:0x4b283f8fe10ce3f3!2m2!1d-68.5293761!2d-31.5426363!1m5!1m1!1s0x96816945e3ec73e9:0xf7d9fe1c234e5aae!2m2!1d-68.4412099!2d-31.4688103!1m5!1m1!1s0x9681402690dd76eb:0x4b283f8fe10ce3f3!2m2!1d-68.5293761!2d-31.5426363!3e0?hl=es&amp;entry=ttu&amp;g_ep=EgoyMDI1MDczMC4wIKXMDSoASAFQAw%3D%3D</v>
          </cell>
          <cell r="H487">
            <v>38.299999999999997</v>
          </cell>
        </row>
        <row r="488">
          <cell r="D488" t="str">
            <v>ZELLBJFK50003YM</v>
          </cell>
          <cell r="E488" t="str">
            <v>CHIMBAS</v>
          </cell>
          <cell r="F488" t="str">
            <v>https://maps.google.com/maps?q=-31.4814583%2C-68.4921576&amp;z=17&amp;hl=es</v>
          </cell>
          <cell r="G488" t="str">
            <v>https://www.google.com/maps/dir/Catamarca+Sur+664,+San+Juan/Escuela+Arturo+Capdevila,+Arenales+de+Aparicio+y+Fernandez+Barrientos,+Chimbas,+San+Juan/Catamarca+Sur+664,+San+Juan/@-31.5180313,-68.5552017,9877m/data=!3m2!1e3!4b1!4m20!4m19!1m5!1m1!1s0x9681402690dd76eb:0x4b283f8fe10ce3f3!2m2!1d-68.5293761!2d-31.5426363!1m5!1m1!1s0x968141aa246fa361:0x13dbd59a1cd301ef!2m2!1d-68.492474!2d-31.4812169!1m5!1m1!1s0x9681402690dd76eb:0x4b283f8fe10ce3f3!2m2!1d-68.5293761!2d-31.5426363!3e0?hl=es&amp;entry=ttu&amp;g_ep=EgoyMDI1MDczMC4wIKXMDSoASAFQAw%3D%3D</v>
          </cell>
          <cell r="H488">
            <v>25.2</v>
          </cell>
        </row>
        <row r="489">
          <cell r="D489" t="str">
            <v>0ACTBJFJ40003NR</v>
          </cell>
          <cell r="E489" t="str">
            <v>Zonda</v>
          </cell>
          <cell r="F489" t="str">
            <v>https://maps.app.goo.gl/j9FiiCybCi8v2EmN6</v>
          </cell>
          <cell r="G489" t="str">
            <v>https://www.google.com/maps/dir/Catamarca+Sur+664,+San+Juan/E.E.E.+MULTIPLE+DE+RIVADAVIA,+J5400+Rivadavia,+San+Juan/Catamarca+Sur+664,+San+Juan/@-31.5337343,-68.588861,9875m/data=!3m1!1e3!4m20!4m19!1m5!1m1!1s0x9681402690dd76eb:0x4b283f8fe10ce3f3!2m2!1d-68.5293761!2d-31.5426363!1m5!1m1!1s0x9681419f842d530b:0xe3bddb2035258207!2m2!1d-68.5700278!2d-31.5127903!1m5!1m1!1s0x9681402690dd76eb:0x4b283f8fe10ce3f3!2m2!1d-68.5293761!2d-31.5426363!3e0?hl=es&amp;entry=ttu&amp;g_ep=EgoyMDI1MDczMC4wIKXMDSoASAFQAw%3D%3D</v>
          </cell>
          <cell r="H489">
            <v>15.9</v>
          </cell>
        </row>
        <row r="490">
          <cell r="D490" t="str">
            <v>07QWB9UG6A007LA</v>
          </cell>
          <cell r="E490" t="str">
            <v>Rawson</v>
          </cell>
          <cell r="F490" t="str">
            <v>https://maps.google.com/maps?q=-31.5877176%2C-68.5308727&amp;z=17&amp;hl=es</v>
          </cell>
          <cell r="G490" t="str">
            <v>https://www.google.com/maps/dir/Catamarca+Sur+664,+San+Juan/E.N.I.+N%C2%B0+42+El+jard%C3%ADn+de+Francesco,+J5425+Villa+Krause,+San+Juan/Catamarca+Sur+664,+San+Juan/@-31.5645843,-68.5635312,9872m/data=!3m2!1e3!4b1!4m20!4m19!1m5!1m1!1s0x9681402690dd76eb:0x4b283f8fe10ce3f3!2m2!1d-68.5293761!2d-31.5426363!1m5!1m1!1s0x96813f1389c2039f:0xc48b0fce2de5091!2m2!1d-68.5307673!2d-31.5879926!1m5!1m1!1s0x9681402690dd76eb:0x4b283f8fe10ce3f3!2m2!1d-68.5293761!2d-31.5426363!3e0?hl=es&amp;entry=ttu&amp;g_ep=EgoyMDI1MDczMC4wIKXMDSoASAFQAw%3D%3D</v>
          </cell>
          <cell r="H490">
            <v>14.1</v>
          </cell>
        </row>
        <row r="491">
          <cell r="D491" t="str">
            <v>07QWB9UFAA002GN</v>
          </cell>
          <cell r="E491" t="str">
            <v>Rivadavia</v>
          </cell>
          <cell r="F491" t="str">
            <v>https://maps.google.com/maps?q=-31.5462363%2C-68.6256978&amp;z=17&amp;hl=es</v>
          </cell>
          <cell r="G491" t="str">
            <v>https://www.google.com/maps/dir/Catamarca+Sur+664,+San+Juan/Escuela+Barrio+Nuevo+Cuyo,+J5407+Rivadavia,+San+Juan/Catamarca+Sur+664,+San+Juan/@-31.5417743,-68.6186242,9875m/data=!3m2!1e3!4b1!4m20!4m19!1m5!1m1!1s0x9681402690dd76eb:0x4b283f8fe10ce3f3!2m2!1d-68.5293761!2d-31.5426363!1m5!1m1!1s0x9681472a3048f60f:0xf636a1e0f2f328e1!2m2!1d-68.6254823!2d-31.546363!1m5!1m1!1s0x9681402690dd76eb:0x4b283f8fe10ce3f3!2m2!1d-68.5293761!2d-31.5426363!3e0?hl=es&amp;entry=ttu&amp;g_ep=EgoyMDI1MDgxMy4wIKXMDSoASAFQAw%3D%3D</v>
          </cell>
          <cell r="H491">
            <v>20.9</v>
          </cell>
        </row>
        <row r="492">
          <cell r="D492" t="str">
            <v>ZELLBJFJA0003MM</v>
          </cell>
          <cell r="E492" t="str">
            <v>Rivadavia</v>
          </cell>
          <cell r="F492" t="str">
            <v>https://maps.google.com/maps?q=-31.5542719%2C-68.6115585&amp;z=17&amp;hl=es</v>
          </cell>
          <cell r="G492" t="str">
            <v>https://www.google.com/maps/dir/Catamarca+Sur+664,+San+Juan/Escuela+Diogenes+Perramon+Matriz,+Rivadavia,+San+Juan/Catamarca+Sur+664,+San+Juan/@-31.5458341,-68.6137867,9874m/data=!3m2!1e3!4b1!4m20!4m19!1m5!1m1!1s0x9681402690dd76eb:0x4b283f8fe10ce3f3!2m2!1d-68.5293761!2d-31.5426363!1m5!1m1!1s0x968140ce351b46dd:0xa7705cc9ebb16141!2m2!1d-68.6112879!2d-31.5543924!1m5!1m1!1s0x9681402690dd76eb:0x4b283f8fe10ce3f3!2m2!1d-68.5293761!2d-31.5426363!3e0?hl=es&amp;entry=ttu&amp;g_ep=EgoyMDI1MDczMC4wIKXMDSoASAFQAw%3D%3D</v>
          </cell>
          <cell r="H492">
            <v>21.3</v>
          </cell>
        </row>
        <row r="493">
          <cell r="D493" t="str">
            <v>07QWB9UG3A0027N</v>
          </cell>
          <cell r="E493" t="str">
            <v>Rawson</v>
          </cell>
          <cell r="F493" t="str">
            <v>https://maps.google.com/maps?q=-31.5823808%2C-68.5601031&amp;z=17&amp;hl=es</v>
          </cell>
          <cell r="G493" t="str">
            <v>https://www.google.com/maps/dir/Catamarca+Sur+664,+San+Juan/Escuela+Pedro+E.+Aramburu,+J5425+Villa+Krause,+San+Juan/Catamarca+Sur+664,+San+Juan/@-31.5621446,-68.5646528,4936m/data=!3m2!1e3!4b1!4m20!4m19!1m5!1m1!1s0x9681402690dd76eb:0x4b283f8fe10ce3f3!2m2!1d-68.5293761!2d-31.5426363!1m5!1m1!1s0x96813f8f535a4641:0x4e4e5b1044b2fd8d!2m2!1d-68.5600578!2d-31.5823274!1m5!1m1!1s0x9681402690dd76eb:0x4b283f8fe10ce3f3!2m2!1d-68.5293761!2d-31.5426363!3e0?hl=es&amp;entry=ttu&amp;g_ep=EgoyMDI1MDczMC4wIKXMDSoASAFQAw%3D%3D</v>
          </cell>
          <cell r="H493">
            <v>13</v>
          </cell>
        </row>
        <row r="494">
          <cell r="D494" t="str">
            <v>07QWB9UG3A001YD</v>
          </cell>
          <cell r="E494" t="str">
            <v>Rawson</v>
          </cell>
          <cell r="F494" t="str">
            <v>https://maps.google.com/maps?q=-31.5840162%2C-68.5320177&amp;z=17&amp;hl=es</v>
          </cell>
          <cell r="G494" t="str">
            <v>https://www.google.com/maps/dir/Catamarca+Sur+664,+San+Juan/Escuela+14+de+Febrero,+J5425+Villa+Krause,+San+Juan/Catamarca+Sur+664,+San+Juan/@-31.5628482,-68.5640939,9872m/data=!3m2!1e3!4b1!4m20!4m19!1m5!1m1!1s0x9681402690dd76eb:0x4b283f8fe10ce3f3!2m2!1d-68.5293761!2d-31.5426363!1m5!1m1!1s0x96813fe4c0c9ad61:0x5b6f1fb3899dea9f!2m2!1d-68.5322862!2d-31.5838509!1m5!1m1!1s0x9681402690dd76eb:0x4b283f8fe10ce3f3!2m2!1d-68.5293761!2d-31.5426363!3e0?hl=es&amp;entry=ttu&amp;g_ep=EgoyMDI1MDczMC4wIKXMDSoASAFQAw%3D%3D</v>
          </cell>
          <cell r="H494">
            <v>13.7</v>
          </cell>
        </row>
        <row r="495">
          <cell r="D495" t="str">
            <v>79G2T3Y</v>
          </cell>
          <cell r="E495" t="str">
            <v>Rawson</v>
          </cell>
          <cell r="F495" t="str">
            <v>https://maps.google.com/maps?q=-31.5733646%2C-68.5267026&amp;z=17&amp;hl=es</v>
          </cell>
          <cell r="G495" t="str">
            <v>https://www.google.com/maps/dir/Catamarca+Sur+664,+San+Juan/Escuela+Jos%C3%A9+Hernandez,+Tierra+del+Fuego+Este+386,+J5425+Villa+Krause,+San+Juan/Catamarca+Sur+664,+San+Juan/@-31.5573173,-68.5470457,4936m/data=!3m2!1e3!4b1!4m20!4m19!1m5!1m1!1s0x9681402690dd76eb:0x4b283f8fe10ce3f3!2m2!1d-68.5293761!2d-31.5426363!1m5!1m1!1s0x96813ffef92b48ef:0x20041e46b1727d71!2m2!1d-68.5265878!2d-31.5731561!1m5!1m1!1s0x9681402690dd76eb:0x4b283f8fe10ce3f3!2m2!1d-68.5293761!2d-31.5426363!3e0?hl=es&amp;entry=ttu&amp;g_ep=EgoyMDI1MDczMC4wIKXMDSoASAFQAw%3D%3D</v>
          </cell>
          <cell r="H495">
            <v>8.6</v>
          </cell>
        </row>
        <row r="496">
          <cell r="D496" t="str">
            <v>ZELLBJFK200004Y</v>
          </cell>
          <cell r="E496" t="str">
            <v>Rawson</v>
          </cell>
          <cell r="F496" t="str">
            <v>https://maps.google.com/maps?q=-31.5704726%2C-68.5618573&amp;z=17&amp;hl=es</v>
          </cell>
          <cell r="G496" t="str">
            <v>https://www.google.com/maps/dir/Catamarca+Sur+664,+San+Juan/Colegio+Secundario+Capit%C3%A1n+de+Fragata+Carlos+Mar%C3%ADa+Moyano,+Dr.+Ortega,+Francia+Sur+y,+Villa+Krause,+San+Juan/Catamarca+Sur+664,+San+Juan/@-31.5581555,-68.5654897,4936m/data=!3m2!1e3!4b1!4m20!4m19!1m5!1m1!1s0x9681402690dd76eb:0x4b283f8fe10ce3f3!2m2!1d-68.5293761!2d-31.5426363!1m5!1m1!1s0x9681407a1322c17b:0xff73eb9594a92523!2m2!1d-68.5617319!2d-31.5701798!1m5!1m1!1s0x9681402690dd76eb:0x4b283f8fe10ce3f3!2m2!1d-68.5293761!2d-31.5426363!3e0?hl=es&amp;entry=ttu&amp;g_ep=EgoyMDI1MDczMC4wIKXMDSoASAFQAw%3D%3D</v>
          </cell>
          <cell r="H496">
            <v>12</v>
          </cell>
        </row>
        <row r="497">
          <cell r="D497" t="str">
            <v>ZELLBJFJB0008BB</v>
          </cell>
          <cell r="E497" t="str">
            <v>Santa Lucía</v>
          </cell>
          <cell r="F497" t="str">
            <v>https://maps.google.com/maps?q=-31.5340516%2C-68.4679008&amp;z=17&amp;hl=es</v>
          </cell>
          <cell r="G497" t="str">
            <v>https://www.google.com/maps/dir/Catamarca+Sur+664,+San+Juan/Escuela+Gral.+Balcarce,+J5411+Santa+Luc%C3%ADa,+San+Juan/Catamarca+Sur+664,+San+Juan/@-31.5387947,-68.5192985,4937m/data=!3m2!1e3!4b1!4m20!4m19!1m5!1m1!1s0x9681402690dd76eb:0x4b283f8fe10ce3f3!2m2!1d-68.5293761!2d-31.5426363!1m5!1m1!1s0x96816b198077af87:0x740eaf82e198a6fa!2m2!1d-68.4677311!2d-31.5336557!1m5!1m1!1s0x9681402690dd76eb:0x4b283f8fe10ce3f3!2m2!1d-68.5293761!2d-31.5426363!3e0?hl=es&amp;entry=ttu&amp;g_ep=EgoyMDI1MDczMC4wIKXMDSoASAFQAw%3D%3D</v>
          </cell>
          <cell r="H497">
            <v>14.1</v>
          </cell>
        </row>
        <row r="498">
          <cell r="D498" t="str">
            <v>07QWB9UFAA004SR</v>
          </cell>
          <cell r="E498" t="str">
            <v>Rawson</v>
          </cell>
          <cell r="F498" t="str">
            <v>https://maps.google.com/maps?q=-31.5638296%2C-68.5201839&amp;z=17&amp;hl=es</v>
          </cell>
          <cell r="G498" t="str">
            <v>https://www.google.com/maps/dir/Catamarca+Sur+664,+San+Juan/ESCUELA,+J5425+Villa+Krause,+San+Juan/Catamarca+Sur+664,+San+Juan/@-31.552899,-68.5435656,4937m/data=!3m2!1e3!4b1!4m20!4m19!1m5!1m1!1s0x9681402690dd76eb:0x4b283f8fe10ce3f3!2m2!1d-68.5293761!2d-31.5426363!1m5!1m1!1s0x96816b402457c3cb:0x8c1b7c75f9b3dd2d!2m2!1d-68.5201272!2d-31.5637386!1m5!1m1!1s0x9681402690dd76eb:0x4b283f8fe10ce3f3!2m2!1d-68.5293761!2d-31.5426363!3e0?hl=es&amp;entry=ttu&amp;g_ep=EgoyMDI1MDczMC4wIKXMDSoASAFQAw%3D%3D</v>
          </cell>
          <cell r="H498">
            <v>7</v>
          </cell>
        </row>
        <row r="499">
          <cell r="D499" t="str">
            <v>07QWB9UG3A002XX</v>
          </cell>
          <cell r="E499" t="str">
            <v>Santa Lucia</v>
          </cell>
          <cell r="F499" t="str">
            <v>https://maps.google.com/maps?q=-31.5362355%2C-68.4376938&amp;z=17&amp;hl=es</v>
          </cell>
          <cell r="G499" t="str">
            <v>https://www.google.com/maps/dir/Catamarca+Sur+664,+San+Juan/Escuela+Jos%C3%A9+Pedro+Cortinez,+J5438,+San+Juan/Catamarca+Sur+664,+San+Juan/@-31.5389321,-68.5250184,9875m/data=!3m2!1e3!4b1!4m20!4m19!1m5!1m1!1s0x9681402690dd76eb:0x4b283f8fe10ce3f3!2m2!1d-68.5293761!2d-31.5426363!1m5!1m1!1s0x96816b5c547d50d7:0xa57027d1b7bfe409!2m2!1d-68.4379363!2d-31.5364264!1m5!1m1!1s0x9681402690dd76eb:0x4b283f8fe10ce3f3!2m2!1d-68.5293761!2d-31.5426363!3e0?hl=es&amp;entry=ttu&amp;g_ep=EgoyMDI1MDczMC4wIKXMDSoASAFQAw%3D%3D</v>
          </cell>
          <cell r="H499">
            <v>19.5</v>
          </cell>
        </row>
        <row r="500">
          <cell r="D500" t="str">
            <v>ZELLBJFJA00027K</v>
          </cell>
          <cell r="E500" t="str">
            <v>Santa Lucía</v>
          </cell>
          <cell r="F500" t="str">
            <v>https://maps.google.com/maps?q=-31.5339224%2C-68.4677731&amp;z=17&amp;hl=es</v>
          </cell>
          <cell r="G500" t="str">
            <v>https://www.google.com/maps/dir/Catamarca+Sur+664,+San+Juan/Escuela+Gral.+Balcarce,+J5411+Santa+Luc%C3%ADa,+San+Juan/Catamarca+Sur+664,+San+Juan/@-31.5387947,-68.5192985,4937m/data=!3m2!1e3!4b1!4m20!4m19!1m5!1m1!1s0x9681402690dd76eb:0x4b283f8fe10ce3f3!2m2!1d-68.5293761!2d-31.5426363!1m5!1m1!1s0x96816b198077af87:0x740eaf82e198a6fa!2m2!1d-68.4677311!2d-31.5336557!1m5!1m1!1s0x9681402690dd76eb:0x4b283f8fe10ce3f3!2m2!1d-68.5293761!2d-31.5426363!3e0?hl=es&amp;entry=ttu&amp;g_ep=EgoyMDI1MDczMC4wIKXMDSoASAFQAw%3D%3D</v>
          </cell>
          <cell r="H500">
            <v>14.1</v>
          </cell>
        </row>
        <row r="501">
          <cell r="D501" t="str">
            <v>ZELLBJFJA00043Y</v>
          </cell>
          <cell r="E501" t="str">
            <v>Rawson</v>
          </cell>
          <cell r="F501" t="str">
            <v>https://maps.google.com/maps?q=-31.5706455%2C-68.5641602&amp;z=17&amp;hl=es</v>
          </cell>
          <cell r="G501" t="str">
            <v>https://www.google.com/maps/dir/Catamarca+Sur+664,+San+Juan/ESCUELA+DR.+PABLO+A.+RAMELLA,+Calle+Juan+Jos%C3%A9+Paso+1300+B1636FDA,+J5425+Rawson,+San+Juan/Catamarca+Sur+664,+San+Juan/@-31.5580848,-68.5666842,4936m/data=!3m1!1e3!4m20!4m19!1m5!1m1!1s0x9681402690dd76eb:0x4b283f8fe10ce3f3!2m2!1d-68.5293761!2d-31.5426363!1m5!1m1!1s0x968141bfd26019fb:0x8ecf94a9145d906d!2m2!1d-68.5640626!2d-31.5706589!1m5!1m1!1s0x9681402690dd76eb:0x4b283f8fe10ce3f3!2m2!1d-68.5293761!2d-31.5426363!3e0?hl=es&amp;entry=ttu&amp;g_ep=EgoyMDI1MDczMC4wIKXMDSoASAFQAw%3D%3D</v>
          </cell>
          <cell r="H501">
            <v>12.6</v>
          </cell>
        </row>
        <row r="502">
          <cell r="D502" t="str">
            <v>07QWB9UG3A002YZ</v>
          </cell>
          <cell r="E502" t="str">
            <v>Capital</v>
          </cell>
          <cell r="F502" t="str">
            <v>https://maps.google.com/maps?q=-31.545559%2C-68.5115936&amp;z=17&amp;hl=es</v>
          </cell>
          <cell r="G502" t="str">
            <v>https://www.google.com/maps/dir/Catamarca+Sur+664,+San+Juan/Escuela+de+Educaci%C3%B3n+Especial+Jos%C3%A9+Terry,+Remberto+Baca+Sur,+Mariano+Moreno+Este+y,+J5402+San+Juan/Catamarca+Sur+664,+San+Juan/@-31.5435492,-68.5309164,2469m/data=!3m2!1e3!4b1!4m20!4m19!1m5!1m1!1s0x9681402690dd76eb:0x4b283f8fe10ce3f3!2m2!1d-68.5293761!2d-31.5426363!1m5!1m1!1s0x9681411e2a8f6291:0x74a9397bd482bf54!2m2!1d-68.5115326!2d-31.5454963!1m5!1m1!1s0x9681402690dd76eb:0x4b283f8fe10ce3f3!2m2!1d-68.5293761!2d-31.5426363!3e0?hl=es&amp;entry=ttu&amp;g_ep=EgoyMDI1MDczMC4wIKXMDSoASAFQAw%3D%3D</v>
          </cell>
          <cell r="H502">
            <v>4.4000000000000004</v>
          </cell>
        </row>
        <row r="503">
          <cell r="D503" t="str">
            <v>ZELLBJEJA00031L</v>
          </cell>
          <cell r="E503" t="str">
            <v>Santa Lucia</v>
          </cell>
          <cell r="F503" t="str">
            <v>https://maps.google.com/maps?q=-31.5337767%2C-68.4810242&amp;z=17&amp;hl=es</v>
          </cell>
          <cell r="G503" t="str">
            <v>https://www.google.com/maps/dir/Catamarca+Sur+664,+San+Juan/E.P.E.T.+N%C2%B0+8+Escuela+Provincia+de+Corrientes,+Av.+Libertador+Gral.+San+Martin+Este+3124,+J5411+Santa+Luc%C3%ADa,+San+Juan/Catamarca+Sur+664,+San+Juan/@-31.5443301,-68.5259894,4937m/data=!3m1!1e3!4m20!4m19!1m5!1m1!1s0x9681402690dd76eb:0x4b283f8fe10ce3f3!2m2!1d-68.5293761!2d-31.5426363!1m5!1m1!1s0x96816ae3bce482ed:0x4c83b3a8c76876f1!2m2!1d-68.4810816!2d-31.5337868!1m5!1m1!1s0x9681402690dd76eb:0x4b283f8fe10ce3f3!2m2!1d-68.5293761!2d-31.5426363!3e0?hl=es&amp;entry=ttu&amp;g_ep=EgoyMDI1MDczMC4wIKXMDSoASAFQAw%3D%3D</v>
          </cell>
          <cell r="H503">
            <v>11.2</v>
          </cell>
        </row>
        <row r="504">
          <cell r="D504" t="str">
            <v>ZELLBJFK9000LAP</v>
          </cell>
          <cell r="E504" t="str">
            <v>Rawson</v>
          </cell>
          <cell r="F504" t="str">
            <v>https://maps.google.com/maps?q=-31.657179%2C-68.4650532&amp;z=17&amp;hl=es</v>
          </cell>
          <cell r="G504" t="str">
            <v>https://www.google.com/maps/dir/Catamarca+Sur+664,+San+Juan/Escuela+Am%C3%A9rica,+San+Juan/Catamarca+Sur+664,+San+Juan/@-31.5992068,-68.583538,19737m/data=!3m2!1e3!4b1!4m20!4m19!1m5!1m1!1s0x9681402690dd76eb:0x4b283f8fe10ce3f3!2m2!1d-68.5293761!2d-31.5426363!1m5!1m1!1s0x96811685529fb83f:0x822eb4cd24e29bd1!2m2!1d-68.4652552!2d-31.6572611!1m5!1m1!1s0x9681402690dd76eb:0x4b283f8fe10ce3f3!2m2!1d-68.5293761!2d-31.5426363!3e0?hl=es&amp;entry=ttu&amp;g_ep=EgoyMDI1MDczMC4wIKXMDSoASAFQAw%3D%3D</v>
          </cell>
          <cell r="H504">
            <v>37</v>
          </cell>
        </row>
        <row r="505">
          <cell r="D505" t="str">
            <v>ZELLBJEK30002YA</v>
          </cell>
          <cell r="E505" t="str">
            <v>Pocito</v>
          </cell>
          <cell r="F505" t="str">
            <v>https://maps.google.com/maps?q=-31.597346%2C-68.5552336&amp;z=17&amp;hl=es</v>
          </cell>
          <cell r="G505" t="str">
            <v>https://www.google.com/maps/dir/Catamarca+Sur+664,+San+Juan/Escuela+Jorge+Washington,+J5427+Pocito,+San+Juan/Catamarca+Sur+664,+San+Juan/@-31.5696017,-68.5830743,9872m/data=!3m2!1e3!4b1!4m20!4m19!1m5!1m1!1s0x9681402690dd76eb:0x4b283f8fe10ce3f3!2m2!1d-68.5293761!2d-31.5426363!1m5!1m1!1s0x96813f961cafcf8f:0xd2039b75dd65b6ac!2m2!1d-68.5553446!2d-31.5974459!1m5!1m1!1s0x9681402690dd76eb:0x4b283f8fe10ce3f3!2m2!1d-68.5293761!2d-31.5426363!3e0?hl=es&amp;entry=ttu&amp;g_ep=EgoyMDI1MDczMC4wIKXMDSoASAFQAw%3D%3D</v>
          </cell>
          <cell r="H505">
            <v>14.8</v>
          </cell>
        </row>
        <row r="506">
          <cell r="D506" t="str">
            <v>07QWB9UG2A002EB</v>
          </cell>
          <cell r="E506" t="str">
            <v>Santa Lucía</v>
          </cell>
          <cell r="F506" t="str">
            <v>https://maps.google.com/maps?q=-31.5439657%2C-68.4955081&amp;z=17&amp;hl=es</v>
          </cell>
          <cell r="G506" t="str">
            <v>https://www.google.com/maps/dir/Catamarca+Sur+664,+San+Juan/Escuela+secundaria+Carlos+Pellegrini,+J5411+Santa+Luc%C3%ADa,+San+Juan/Catamarca+Sur+664,+San+Juan/@-31.5420971,-68.533231,4937m/data=!3m2!1e3!4b1!4m20!4m19!1m5!1m1!1s0x9681402690dd76eb:0x4b283f8fe10ce3f3!2m2!1d-68.5293761!2d-31.5426363!1m5!1m1!1s0x96816bda7b86d37b:0x905eb63fb65ace28!2m2!1d-68.495562!2d-31.5439719!1m5!1m1!1s0x9681402690dd76eb:0x4b283f8fe10ce3f3!2m2!1d-68.5293761!2d-31.5426363!3e0?hl=es&amp;entry=ttu&amp;g_ep=EgoyMDI1MDczMC4wIKXMDSoASAFQAw%3D%3D</v>
          </cell>
          <cell r="H506">
            <v>7.4</v>
          </cell>
        </row>
        <row r="507">
          <cell r="D507" t="str">
            <v>07QWB9UG3A001QY</v>
          </cell>
          <cell r="E507" t="str">
            <v>Pocito</v>
          </cell>
          <cell r="F507" t="str">
            <v>https://maps.google.com/maps?q=-31.5920334%2C-68.5437777&amp;z=17&amp;hl=es</v>
          </cell>
          <cell r="G507" t="str">
            <v>https://www.google.com/maps/dir/Catamarca+Sur+664,+San+Juan/Escuela+Rabindranath+Tagore,+J5427+Pocito,+San+Juan/Catamarca+Sur+664,+San+Juan/@-31.5672996,-68.5739955,9872m/data=!3m2!1e3!4b1!4m20!4m19!1m5!1m1!1s0x9681402690dd76eb:0x4b283f8fe10ce3f3!2m2!1d-68.5293761!2d-31.5426363!1m5!1m1!1s0x96813febd17cc889:0xf01e4fc96574812b!2m2!1d-68.5431214!2d-31.5924537!1m5!1m1!1s0x9681402690dd76eb:0x4b283f8fe10ce3f3!2m2!1d-68.5293761!2d-31.5426363!3e0?hl=es&amp;entry=ttu&amp;g_ep=EgoyMDI1MDczMC4wIKXMDSoASAFQAw%3D%3D</v>
          </cell>
          <cell r="H507">
            <v>16.100000000000001</v>
          </cell>
        </row>
        <row r="508">
          <cell r="D508" t="str">
            <v>ZELLBJFJB0005FW</v>
          </cell>
          <cell r="E508" t="str">
            <v>Santa Lucía</v>
          </cell>
          <cell r="F508" t="str">
            <v>https://maps.google.com/maps?q=-31.5344086%2C-68.481202&amp;z=17&amp;hl=es</v>
          </cell>
          <cell r="G508" t="str">
            <v>https://www.google.com/maps/dir/Catamarca+Sur+664,+San+Juan/E.P.E.T.+N%C2%B0+8+Escuela+Provincia+de+Corrientes,+Av.+Libertador+Gral.+San+Martin+Este+3124,+J5411+Santa+Luc%C3%ADa,+San+Juan/Catamarca+Sur+664,+San+Juan/@-31.5443301,-68.5259894,4937m/data=!3m1!1e3!4m20!4m19!1m5!1m1!1s0x9681402690dd76eb:0x4b283f8fe10ce3f3!2m2!1d-68.5293761!2d-31.5426363!1m5!1m1!1s0x96816ae3bce482ed:0x4c83b3a8c76876f1!2m2!1d-68.4810816!2d-31.5337868!1m5!1m1!1s0x9681402690dd76eb:0x4b283f8fe10ce3f3!2m2!1d-68.5293761!2d-31.5426363!3e0?hl=es&amp;entry=ttu&amp;g_ep=EgoyMDI1MDczMC4wIKXMDSoASAFQAw%3D%3D</v>
          </cell>
          <cell r="H508">
            <v>11.2</v>
          </cell>
        </row>
        <row r="509">
          <cell r="D509" t="str">
            <v>07QWB9UFAA002AJ</v>
          </cell>
          <cell r="E509" t="str">
            <v>Sarmiento</v>
          </cell>
          <cell r="F509" t="str">
            <v>https://maps.google.com/maps?q=-32.1027167%2C-68.3874679&amp;z=17&amp;hl=es</v>
          </cell>
          <cell r="G509" t="str">
            <v>https://www.google.com/maps/dir/Catamarca+Sur+664,+San+Juan/Escuela+Presidente+Manuel+Quintana,+San+Juan/Catamarca+Sur+664,+San+Juan/@-31.8210591,-68.7827431,78759m/data=!3m1!1e3!4m20!4m19!1m5!1m1!1s0x9681402690dd76eb:0x4b283f8fe10ce3f3!2m2!1d-68.5293761!2d-31.5426363!1m5!1m1!1s0x9680efa5839386ad:0xb7a4737f633449b2!2m2!1d-68.3879372!2d-32.1028106!1m5!1m1!1s0x9681402690dd76eb:0x4b283f8fe10ce3f3!2m2!1d-68.5293761!2d-31.5426363!3e0?hl=es&amp;entry=ttu&amp;g_ep=EgoyMDI1MDczMC4wIKXMDSoASAFQAw%3D%3D</v>
          </cell>
          <cell r="H509">
            <v>145</v>
          </cell>
        </row>
        <row r="510">
          <cell r="D510" t="str">
            <v>07QWB9UFAA0038M</v>
          </cell>
          <cell r="E510" t="str">
            <v>Sarmiento</v>
          </cell>
          <cell r="F510" t="str">
            <v>https://maps.google.com/maps?q=-31.9214296%2C-68.4085741&amp;z=17&amp;hl=es</v>
          </cell>
          <cell r="G510" t="str">
            <v>https://www.google.com/maps/dir/Catamarca+Sur+664,+San+Juan/escuela+mariano+moreno,+San+Juan/Catamarca+Sur+664,+San+Juan/@-31.7304174,-68.8143125,78837m/data=!3m2!1e3!4b1!4m20!4m19!1m5!1m1!1s0x9681402690dd76eb:0x4b283f8fe10ce3f3!2m2!1d-68.5293761!2d-31.5426363!1m5!1m1!1s0x9680e23facb6c839:0x1ae0dcd8e7ce0b25!2m2!1d-68.4086209!2d-31.9214906!1m5!1m1!1s0x9681402690dd76eb:0x4b283f8fe10ce3f3!2m2!1d-68.5293761!2d-31.5426363!3e0?hl=es&amp;entry=ttu&amp;g_ep=EgoyMDI1MDczMC4wIKXMDSoASAFQAw%3D%3D</v>
          </cell>
          <cell r="H510">
            <v>109</v>
          </cell>
        </row>
        <row r="511">
          <cell r="D511" t="str">
            <v>ZELLBJFJA00032M</v>
          </cell>
          <cell r="E511" t="str">
            <v>RAWSON</v>
          </cell>
          <cell r="F511" t="str">
            <v>https://maps.google.com/maps?q=-31.5787893%2C-68.5323553&amp;z=17&amp;hl=es</v>
          </cell>
          <cell r="G511" t="str">
            <v>https://www.google.com/maps/dir/Catamarca+Sur+664,+San+Juan/Colegio+Superior+N%C2%B0+1+De+Rawson+Profesora+Iole+Lebe+Palmolelli+de+Mascotti,+Mendoza+Sur+1475,+J5425+Villa+Krause,+San+Juan/Catamarca+Sur+664,+San+Juan/@-31.560288,-68.5489678,4936m/data=!3m2!1e3!4b1!4m20!4m19!1m5!1m1!1s0x9681402690dd76eb:0x4b283f8fe10ce3f3!2m2!1d-68.5293761!2d-31.5426363!1m5!1m1!1s0x96813fe4db8d61d5:0x58dae4a2e6ed7917!2m2!1d-68.5324956!2d-31.5786777!1m5!1m1!1s0x9681402690dd76eb:0x4b283f8fe10ce3f3!2m2!1d-68.5293761!2d-31.5426363!3e0?hl=es&amp;entry=ttu&amp;g_ep=EgoyMDI1MDczMC4wIKXMDSoASAFQAw%3D%3D</v>
          </cell>
          <cell r="H511">
            <v>10.1</v>
          </cell>
        </row>
        <row r="512">
          <cell r="D512" t="str">
            <v>ZELLBJEJA00008F</v>
          </cell>
          <cell r="E512" t="str">
            <v>SANTA LUCIA</v>
          </cell>
          <cell r="F512" t="str">
            <v>https://maps.google.com/maps?q=-31.5557229%2C-68.4173914&amp;z=17&amp;hl=es</v>
          </cell>
          <cell r="G512" t="str">
            <v>https://www.google.com/maps/dir/Catamarca+Sur+664,+San+Juan/Escuela+Francisco+De+Villagra,+Hernan+Cortez,+San+Juan/Catamarca+Sur+664,+San+Juan/@-31.5557309,-68.5155084,9873m/data=!3m2!1e3!4b1!4m20!4m19!1m5!1m1!1s0x9681402690dd76eb:0x4b283f8fe10ce3f3!2m2!1d-68.5293761!2d-31.5426363!1m5!1m1!1s0x9681130e266e25c1:0xd0c9bf5d447bcdaf!2m2!1d-68.4174556!2d-31.5557721!1m5!1m1!1s0x9681402690dd76eb:0x4b283f8fe10ce3f3!2m2!1d-68.5293761!2d-31.5426363!3e0?hl=es&amp;entry=ttu&amp;g_ep=EgoyMDI1MDczMC4wIKXMDSoASAFQAw%3D%3D</v>
          </cell>
          <cell r="H512">
            <v>28.6</v>
          </cell>
        </row>
        <row r="513">
          <cell r="D513" t="str">
            <v>ZELLBJFK20006XN</v>
          </cell>
          <cell r="E513" t="str">
            <v>RAWSON</v>
          </cell>
          <cell r="F513" t="str">
            <v>https://maps.google.com/maps?q=-31.5718143%2C-68.5340382&amp;z=17&amp;hl=es</v>
          </cell>
          <cell r="G513" t="str">
            <v>https://www.google.com/maps/dir/Catamarca+Sur+664,+San+Juan/Escuela+Alas+Argentinas,+Calle+Recabarren,+J5425+Villa+Krause,+San+Juan/Catamarca+Sur+664,+San+Juan/@-31.5573234,-68.5498186,4936m/data=!3m2!1e3!4b1!4m20!4m19!1m5!1m1!1s0x9681402690dd76eb:0x4b283f8fe10ce3f3!2m2!1d-68.5293761!2d-31.5426363!1m5!1m1!1s0x968140716385aff5:0x58d3d920b79a4f01!2m2!1d-68.5340573!2d-31.5718295!1m5!1m1!1s0x9681402690dd76eb:0x4b283f8fe10ce3f3!2m2!1d-68.5293761!2d-31.5426363!3e0?hl=es&amp;entry=ttu&amp;g_ep=EgoyMDI1MDczMC4wIKXMDSoASAFQAw%3D%3D</v>
          </cell>
          <cell r="H513">
            <v>8.4</v>
          </cell>
        </row>
        <row r="514">
          <cell r="D514" t="str">
            <v>ZELLBJFK30002SF</v>
          </cell>
          <cell r="E514" t="str">
            <v>San Martin</v>
          </cell>
          <cell r="F514" t="str">
            <v>https://maps.google.com/maps?q=-31.4847035%2C-68.3229072&amp;z=17&amp;hl=es</v>
          </cell>
          <cell r="G514" t="str">
            <v>https://www.google.com/maps/dir/Catamarca+Sur+664,+San+Juan/Escuela+de+Educaci%C3%B3n+Especial+Crucero+ARA+Gral.+Belgrano,+C.+Jachal,+San+Isidro,+San+Juan/Catamarca+Sur+664,+San+Juan/@-31.516338,-68.5116057,19755m/data=!3m2!1e3!4b1!4m20!4m19!1m5!1m1!1s0x9681402690dd76eb:0x4b283f8fe10ce3f3!2m2!1d-68.5293761!2d-31.5426363!1m5!1m1!1s0x968173cde1c27531:0xb6a9a5422badd71c!2m2!1d-68.3226523!2d-31.4848245!1m5!1m1!1s0x9681402690dd76eb:0x4b283f8fe10ce3f3!2m2!1d-68.5293761!2d-31.5426363!3e0?hl=es&amp;entry=ttu&amp;g_ep=EgoyMDI1MDczMC4wIKXMDSoASAFQAw%3D%3D</v>
          </cell>
          <cell r="H514">
            <v>56.9</v>
          </cell>
        </row>
        <row r="515">
          <cell r="D515" t="str">
            <v>ZELLBJFJB0006CR</v>
          </cell>
          <cell r="E515" t="str">
            <v>Santa Lucía</v>
          </cell>
          <cell r="F515" t="str">
            <v>https://maps.google.com/maps?q=-31.5286535%2C-68.4925946&amp;z=17&amp;hl=es</v>
          </cell>
          <cell r="G515" t="str">
            <v>https://www.google.com/maps/dir/Catamarca+Sur+664,+San+Juan/Centro+de+Educaci%C3%B3n+F%C3%ADsica+(CEF)+N%C2%B0+20+-+La+Granja,+Roque+S%C3%A1enz+Pe%C3%B1a+2930+este,+J5411+Santa+Luc%C3%ADa,+San+Juan/Catamarca+Sur+664,+San+Juan/@-31.5418062,-68.5312777,4937m/data=!3m2!1e3!4b1!4m20!4m19!1m5!1m1!1s0x9681402690dd76eb:0x4b283f8fe10ce3f3!2m2!1d-68.5293761!2d-31.5426363!1m5!1m1!1s0x96816af3d8746105:0x2bbfec6c23b8dbfe!2m2!1d-68.4918903!2d-31.529067!1m5!1m1!1s0x9681402690dd76eb:0x4b283f8fe10ce3f3!2m2!1d-68.5293761!2d-31.5426363!3e0?hl=es&amp;entry=ttu&amp;g_ep=EgoyMDI1MDczMC4wIKXMDSoASAFQAw%3D%3D</v>
          </cell>
          <cell r="H515">
            <v>12.8</v>
          </cell>
        </row>
        <row r="516">
          <cell r="D516" t="str">
            <v>ZELLBJFJB00057V</v>
          </cell>
          <cell r="E516" t="str">
            <v>Capital</v>
          </cell>
          <cell r="F516" t="str">
            <v>https://maps.google.com/maps?q=-31.5543112%2C-68.519112&amp;z=17&amp;hl=es</v>
          </cell>
          <cell r="G516" t="str">
            <v>https://www.google.com/maps/dir/Catamarca+Sur+664,+San+Juan/E.E.E.+LUIS+BRAILLE,+J5402+San+Juan/Catamarca+Sur+664,+San+Juan/@-31.5479509,-68.5350915,2468m/data=!3m2!1e3!4b1!4m20!4m19!1m5!1m1!1s0x9681402690dd76eb:0x4b283f8fe10ce3f3!2m2!1d-68.5293761!2d-31.5426363!1m5!1m1!1s0x96816aa6ba52e3d1:0x7a2ab8755da6a26e!2m2!1d-68.5196952!2d-31.5543395!1m5!1m1!1s0x9681402690dd76eb:0x4b283f8fe10ce3f3!2m2!1d-68.5293761!2d-31.5426363!3e0?hl=es&amp;entry=ttu&amp;g_ep=EgoyMDI1MDczMC4wIKXMDSoASAFQAw%3D%3D</v>
          </cell>
          <cell r="H516">
            <v>4.5999999999999996</v>
          </cell>
        </row>
        <row r="517">
          <cell r="D517" t="str">
            <v>ZELLBJFK200035L</v>
          </cell>
          <cell r="E517" t="str">
            <v>POCITO</v>
          </cell>
          <cell r="F517" t="str">
            <v>https://maps.google.com/maps?q=-31.5854564%2C-68.5547048&amp;z=17&amp;hl=es</v>
          </cell>
          <cell r="G517" t="str">
            <v>https://www.google.com/maps/dir/Catamarca+Sur+664,+San+Juan/Escuela+Las+Hornillas,+J5425+Pocito,+San+Juan/Catamarca+Sur+664,+San+Juan/@-31.563589,-68.5828073,9872m/data=!3m2!1e3!4b1!4m20!4m19!1m5!1m1!1s0x9681402690dd76eb:0x4b283f8fe10ce3f3!2m2!1d-68.5293761!2d-31.5426363!1m5!1m1!1s0x96813f8e0a3cbbdd:0x50582d81a0343f2b!2m2!1d-68.5547475!2d-31.5855534!1m5!1m1!1s0x9681402690dd76eb:0x4b283f8fe10ce3f3!2m2!1d-68.5293761!2d-31.5426363!3e0?hl=es&amp;entry=ttu&amp;g_ep=EgoyMDI1MDczMC4wIKXMDSoASAFQAw%3D%3D</v>
          </cell>
          <cell r="H517">
            <v>12.4</v>
          </cell>
        </row>
        <row r="518">
          <cell r="D518" t="str">
            <v>ZELLBJEJA0002VR</v>
          </cell>
          <cell r="E518" t="str">
            <v>SANTA LUCIA</v>
          </cell>
          <cell r="F518" t="str">
            <v>https://maps.google.com/maps?q=-31.5467227%2C-68.5024759&amp;z=17&amp;hl=es</v>
          </cell>
          <cell r="G518" t="str">
            <v>https://www.google.com/maps/dir/Catamarca+Sur+664,+San+Juan/E.E.E+Graciela+Cibeira+De+Cantoni,+J5411+Santa+Luc%C3%ADa,+San+Juan/Catamarca+Sur+664,+San+Juan/@-31.5484398,-68.5259579,2468m/data=!3m2!1e3!4b1!4m20!4m19!1m5!1m1!1s0x9681402690dd76eb:0x4b283f8fe10ce3f3!2m2!1d-68.5293761!2d-31.5426363!1m5!1m1!1s0x96816abfbba20d43:0xc73bc256a7feedcf!2m2!1d-68.5022201!2d-31.5466041!1m5!1m1!1s0x9681402690dd76eb:0x4b283f8fe10ce3f3!2m2!1d-68.5293761!2d-31.5426363!3e0?hl=es&amp;entry=ttu&amp;g_ep=EgoyMDI1MDczMC4wIKXMDSoASAFQAw%3D%3D</v>
          </cell>
          <cell r="H518">
            <v>7.9</v>
          </cell>
        </row>
        <row r="519">
          <cell r="D519" t="str">
            <v>ZELLBJFJ90000SM</v>
          </cell>
          <cell r="E519" t="str">
            <v>SANTA LUCIA (COLONIA RICHET ZAPATA)</v>
          </cell>
          <cell r="F519" t="str">
            <v>https://maps.google.com/maps?q=-31.5049317%2C-68.4866417&amp;z=17&amp;hl=es</v>
          </cell>
          <cell r="G519" t="str">
            <v>https://www.google.com/maps/dir/Catamarca+Sur+664,+San+Juan/-31.5049317,-68.4866417/Catamarca+Sur+664,+San+Juan/@-31.5291908,-68.5499071,9876m/data=!3m2!1e3!4b1!4m15!4m14!1m5!1m1!1s0x9681402690dd76eb:0x4b283f8fe10ce3f3!2m2!1d-68.5293761!2d-31.5426363!1m0!1m5!1m1!1s0x9681402690dd76eb:0x4b283f8fe10ce3f3!2m2!1d-68.5293761!2d-31.5426363!3e0?hl=es&amp;entry=ttu&amp;g_ep=EgoyMDI1MDczMC4wIKXMDSoASAFQAw%3D%3D</v>
          </cell>
          <cell r="H519">
            <v>19</v>
          </cell>
        </row>
        <row r="520">
          <cell r="D520" t="str">
            <v>ZELLBJFJA0003TE</v>
          </cell>
          <cell r="E520" t="str">
            <v>CAUCETE</v>
          </cell>
          <cell r="F520" t="str">
            <v>https://maps.google.com/maps?q=-31.6490015%2C-68.2745689&amp;z=17&amp;hl=es</v>
          </cell>
          <cell r="G520" t="str">
            <v>https://www.google.com/maps/dir/Catamarca+Sur+664,+San+Juan/Escuela+E.E.E+Maria+Montessori,+Juan+Jos%C3%A9+Bustos,+J5442+Caucete,+San+Juan/Catamarca+Sur+664,+San+Juan/@-31.5951035,-68.4838328,19738m/data=!3m1!1e3!4m20!4m19!1m5!1m1!1s0x9681402690dd76eb:0x4b283f8fe10ce3f3!2m2!1d-68.5293761!2d-31.5426363!1m5!1m1!1s0x96810f6e221252ed:0xcd148e4a08caac4b!2m2!1d-68.2745389!2d-31.6489744!1m5!1m1!1s0x9681402690dd76eb:0x4b283f8fe10ce3f3!2m2!1d-68.5293761!2d-31.5426363!3e0?hl=es&amp;entry=ttu&amp;g_ep=EgoyMDI1MDczMC4wIKXMDSoASAFQAw%3D%3D</v>
          </cell>
          <cell r="H520">
            <v>60.3</v>
          </cell>
        </row>
        <row r="521">
          <cell r="D521" t="str">
            <v>ZELLBJFJA0002XA</v>
          </cell>
          <cell r="E521">
            <v>45802</v>
          </cell>
          <cell r="F521" t="str">
            <v>https://maps.google.com/maps?q=-31.745613%2C-68.3242578&amp;z=17&amp;hl=es</v>
          </cell>
          <cell r="G521" t="str">
            <v>https://www.google.com/maps/dir/Catamarca+Sur+664,+San+Juan/E.E.E.+M%C3%BAltiple+De+25+De+Mayo,+Calle+4,+Enfermera+Medina+y,+Villa+Santa+Rosa,+San+Juan/Catamarca+Sur+664,+San+Juan/@-31.643134,-68.5927678,39455m/data=!3m2!1e3!4b1!4m20!4m19!1m5!1m1!1s0x9681402690dd76eb:0x4b283f8fe10ce3f3!2m2!1d-68.5293761!2d-31.5426363!1m5!1m1!1s0x968105d87b65c46b:0x9febb9b5e8411dee!2m2!1d-68.3247464!2d-31.7453951!1m5!1m1!1s0x9681402690dd76eb:0x4b283f8fe10ce3f3!2m2!1d-68.5293761!2d-31.5426363!3e0?hl=es&amp;entry=ttu&amp;g_ep=EgoyMDI1MDczMC4wIKXMDSoASAFQAw%3D%3D</v>
          </cell>
          <cell r="H521">
            <v>71.099999999999994</v>
          </cell>
        </row>
        <row r="522">
          <cell r="D522" t="str">
            <v>ZELLBJEK30001PX</v>
          </cell>
          <cell r="E522">
            <v>45802</v>
          </cell>
          <cell r="F522" t="str">
            <v>https://maps.google.com/maps?q=-31.8610836%2C-68.3232662&amp;z=17&amp;hl=es</v>
          </cell>
          <cell r="G522" t="str">
            <v>https://www.google.com/maps/dir/Catamarca+Sur+664,+San+Juan/Escuela+Autonomia+Del+Bono,+San+Juan/Catamarca+Sur+664,+San+Juan/@-31.7008273,-68.5876929,39431m/data=!3m2!1e3!4b1!4m20!4m19!1m5!1m1!1s0x9681402690dd76eb:0x4b283f8fe10ce3f3!2m2!1d-68.5293761!2d-31.5426363!1m5!1m1!1s0x968102b7e5b3cc9d:0xe79904713220da82!2m2!1d-68.3230989!2d-31.8611134!1m5!1m1!1s0x9681402690dd76eb:0x4b283f8fe10ce3f3!2m2!1d-68.5293761!2d-31.5426363!3e0?hl=es&amp;entry=ttu&amp;g_ep=EgoyMDI1MDczMC4wIKXMDSoASAFQAw%3D%3D</v>
          </cell>
          <cell r="H522">
            <v>101</v>
          </cell>
        </row>
        <row r="523">
          <cell r="D523" t="str">
            <v>ZELLBJFJA00038E</v>
          </cell>
          <cell r="E523" t="str">
            <v>Caucete</v>
          </cell>
          <cell r="F523" t="str">
            <v>https://maps.google.com/maps?q=-31.6575507%2C-68.2748533&amp;z=17&amp;hl=es</v>
          </cell>
          <cell r="G523" t="str">
            <v>https://www.google.com/maps/dir/Catamarca+Sur+664,+San+Juan/Esc.+Pbro.+Mariano+Iannelli,+RN20+1051,+J5442+Villa+Col%C3%B3n,+San+Juan/Catamarca+Sur+664,+San+Juan/@-31.5998195,-68.484563,19737m/data=!3m2!1e3!4b1!4m20!4m19!1m5!1m1!1s0x9681402690dd76eb:0x4b283f8fe10ce3f3!2m2!1d-68.5293761!2d-31.5426363!1m5!1m1!1s0x96810fd87c0af2e3:0xddd96bcf3267c7b9!2m2!1d-68.2750451!2d-31.657565!1m5!1m1!1s0x9681402690dd76eb:0x4b283f8fe10ce3f3!2m2!1d-68.5293761!2d-31.5426363!3e0?hl=es&amp;entry=ttu&amp;g_ep=EgoyMDI1MDczMC4wIKXMDSoASAFQAw%3D%3D</v>
          </cell>
          <cell r="H523">
            <v>61.7</v>
          </cell>
        </row>
        <row r="524">
          <cell r="D524" t="str">
            <v>ZELLBJFK300010H</v>
          </cell>
          <cell r="E524">
            <v>45847</v>
          </cell>
          <cell r="F524" t="str">
            <v>https://maps.google.com/maps?q=-31.7023314%2C-68.368835&amp;z=17&amp;hl=es</v>
          </cell>
          <cell r="G524" t="str">
            <v>https://www.google.com/maps/dir/Catamarca+Sur+664,+San+Juan/Escuela+Eusebio+Segundo+Zapata,+Calle+11,+San+Juan/Catamarca+Sur+664,+San+Juan/@-31.6215228,-68.5326639,19732m/data=!3m2!1e3!4b1!4m20!4m19!1m5!1m1!1s0x9681402690dd76eb:0x4b283f8fe10ce3f3!2m2!1d-68.5293761!2d-31.5426363!1m5!1m1!1s0x9681106f6f1fdbcf:0x2ed26c5d4d41191a!2m2!1d-68.369362!2d-31.7018849!1m5!1m1!1s0x9681402690dd76eb:0x4b283f8fe10ce3f3!2m2!1d-68.5293761!2d-31.5426363!3e0?hl=es&amp;entry=ttu&amp;g_ep=EgoyMDI1MDczMC4wIKXMDSoASAFQAw%3D%3D</v>
          </cell>
          <cell r="H524">
            <v>55.6</v>
          </cell>
        </row>
        <row r="525">
          <cell r="D525" t="str">
            <v>ZELLBJFJB0008CX</v>
          </cell>
          <cell r="E525">
            <v>45847</v>
          </cell>
          <cell r="F525" t="str">
            <v>https://maps.google.com/maps?q=-31.6484413%2C-68.3737235&amp;z=17&amp;hl=es</v>
          </cell>
          <cell r="G525" t="str">
            <v>https://www.google.com/maps/dir/Catamarca+Sur+664,+San+Juan/Escuela+Esteban+De+Luca,+Nueve+de+Julio,+San+Juan/Catamarca+Sur+664,+San+Juan/@-31.5948525,-68.5349149,19738m/data=!3m2!1e3!4b1!4m20!4m19!1m5!1m1!1s0x9681402690dd76eb:0x4b283f8fe10ce3f3!2m2!1d-68.5293761!2d-31.5426363!1m5!1m1!1s0x9681119914b10d59:0x3d417674734b09c3!2m2!1d-68.3738705!2d-31.6484258!1m5!1m1!1s0x9681402690dd76eb:0x4b283f8fe10ce3f3!2m2!1d-68.5293761!2d-31.5426363!3e0?hl=es&amp;entry=ttu&amp;g_ep=EgoyMDI1MDczMC4wIKXMDSoASAFQAw%3D%3D</v>
          </cell>
          <cell r="H525">
            <v>47.1</v>
          </cell>
        </row>
        <row r="526">
          <cell r="D526" t="str">
            <v>ZELLBJFJ90000YW</v>
          </cell>
          <cell r="E526">
            <v>45847</v>
          </cell>
          <cell r="F526" t="str">
            <v>https://maps.google.com/maps?q=-31.6684025%2C-68.3922489&amp;z=17&amp;hl=es</v>
          </cell>
          <cell r="G526" t="str">
            <v>https://www.google.com/maps/dir/Catamarca+Sur+664,+San+Juan/-31.6684025,-68.3922489/Catamarca+Sur+664,+San+Juan/@-31.6046909,-68.5441072,19736m/data=!3m2!1e3!4b1!4m15!4m14!1m5!1m1!1s0x9681402690dd76eb:0x4b283f8fe10ce3f3!2m2!1d-68.5293761!2d-31.5426363!1m0!1m5!1m1!1s0x9681402690dd76eb:0x4b283f8fe10ce3f3!2m2!1d-68.5293761!2d-31.5426363!3e0?hl=es&amp;entry=ttu&amp;g_ep=EgoyMDI1MDczMC4wIKXMDSoASAFQAw%3D%3D</v>
          </cell>
          <cell r="H526">
            <v>45.6</v>
          </cell>
        </row>
        <row r="527">
          <cell r="D527" t="str">
            <v>07QWB9UFAA000KX</v>
          </cell>
          <cell r="E527" t="str">
            <v>RIVADAVIA</v>
          </cell>
          <cell r="F527" t="str">
            <v>https://maps.google.com/maps?q=-31.5158484%2C-68.5740979&amp;z=17&amp;hl=es</v>
          </cell>
          <cell r="G527" t="str">
            <v>https://www.google.com/maps/dir/Catamarca+Sur+664,+San+Juan/Escuela+Cornelio+Saavedra,+Roque+S%C3%A1enz+Pe%C3%B1a+Oeste+430,+J5400+Rivadavia,+San+Juan/Catamarca+Sur+664,+San+Juan/@-31.5354698,-68.5723669,4938m/data=!3m2!1e3!4b1!4m20!4m19!1m5!1m1!1s0x9681402690dd76eb:0x4b283f8fe10ce3f3!2m2!1d-68.5293623!2d-31.542635!1m5!1m1!1s0x968141005eb49f49:0xee932a856e4804fb!2m2!1d-68.5741728!2d-31.5158343!1m5!1m1!1s0x9681402690dd76eb:0x4b283f8fe10ce3f3!2m2!1d-68.5293623!2d-31.542635!3e0?hl=es&amp;entry=ttu&amp;g_ep=EgoyMDI1MDgxOS4wIKXMDSoASAFQAw%3D%3D</v>
          </cell>
          <cell r="H527">
            <v>16</v>
          </cell>
        </row>
        <row r="528">
          <cell r="D528" t="str">
            <v>ZELLBJFK40006BE</v>
          </cell>
          <cell r="E528" t="str">
            <v>Capital</v>
          </cell>
          <cell r="F528" t="str">
            <v>https://maps.google.com/maps?q=-31.5346322%2C-68.5496195&amp;z=17&amp;hl=es</v>
          </cell>
          <cell r="G528" t="str">
            <v>https://www.google.com/maps/dir/Catamarca+Sur+664,+San+Juan/Escuela+Clara+Rosa+Cortinez,+Francisco+N.+Laprida+Oeste+1599,+J5400ENH+San+Juan/Catamarca+Sur+664,+San+Juan/@-31.5396387,-68.5499241,2469m/data=!3m2!1e3!4b1!4m20!4m19!1m5!1m1!1s0x9681402690dd76eb:0x4b283f8fe10ce3f3!2m2!1d-68.5293623!2d-31.542635!1m5!1m1!1s0x9681404a7a997f27:0xff916058ad94d827!2m2!1d-68.5495238!2d-31.534646!1m5!1m1!1s0x9681402690dd76eb:0x4b283f8fe10ce3f3!2m2!1d-68.5293623!2d-31.542635!3e0?hl=es&amp;entry=ttu&amp;g_ep=EgoyMDI1MDgxOS4wIKXMDSoASAFQAw%3D%3D</v>
          </cell>
          <cell r="H528">
            <v>5.7</v>
          </cell>
        </row>
        <row r="529">
          <cell r="D529" t="str">
            <v>ZELLBJEJ500016Y</v>
          </cell>
          <cell r="E529" t="str">
            <v>Rivadavia</v>
          </cell>
          <cell r="F529" t="str">
            <v>https://maps.google.com/maps?q=-31.5292364%2C-68.5803338&amp;z=17&amp;hl=es</v>
          </cell>
          <cell r="G529" t="str">
            <v>https://www.google.com/maps/dir/Catamarca+Sur+664,+San+Juan/Meglioli+Sur+146,+J5400+Rivadavia,+San+Juan/Catamarca+Sur+664,+San+Juan/@-31.5371569,-68.575527,4938m/data=!3m2!1e3!4b1!4m20!4m19!1m5!1m1!1s0x9681402690dd76eb:0x4b283f8fe10ce3f3!2m2!1d-68.5293623!2d-31.542635!1m5!1m1!1s0x9681410445f7c191:0xcf03b28a2e21409f!2m2!1d-68.5802879!2d-31.5292944!1m5!1m1!1s0x9681402690dd76eb:0x4b283f8fe10ce3f3!2m2!1d-68.5293623!2d-31.542635!3e0?hl=es&amp;entry=ttu&amp;g_ep=EgoyMDI1MDgxOS4wIKXMDSoASAFQAw%3D%3D</v>
          </cell>
          <cell r="H529">
            <v>12.4</v>
          </cell>
        </row>
        <row r="530">
          <cell r="D530" t="str">
            <v>ZELLBJAH70002XX</v>
          </cell>
          <cell r="E530" t="str">
            <v>Rivadavia</v>
          </cell>
          <cell r="F530" t="str">
            <v>https://maps.google.com/maps?q=-31.5392688%2C-68.6297056&amp;z=17&amp;hl=es</v>
          </cell>
          <cell r="G530" t="str">
            <v>https://www.google.com/maps/dir/Catamarca+Sur+664,+San+Juan/E.P.E.T.+N%C2%B0+6+La+Bebida,+Chubut,+J5407+Rivadavia,+San+Juan/Catamarca+Sur+664,+San+Juan/@-31.5406866,-68.6203553,9875m/data=!3m1!1e3!4m20!4m19!1m5!1m1!1s0x9681402690dd76eb:0x4b283f8fe10ce3f3!2m2!1d-68.5293623!2d-31.542635!1m5!1m1!1s0x9681412a56962d93:0x195280c5a808f2fe!2m2!1d-68.6299694!2d-31.539346!1m5!1m1!1s0x9681402690dd76eb:0x4b283f8fe10ce3f3!2m2!1d-68.5293623!2d-31.542635!3e0?hl=es&amp;entry=ttu&amp;g_ep=EgoyMDI1MDgxOS4wIKXMDSoASAFQAw%3D%3D</v>
          </cell>
          <cell r="H530">
            <v>20.8</v>
          </cell>
        </row>
        <row r="531">
          <cell r="D531" t="str">
            <v>ZELLBJEJA00030Z</v>
          </cell>
          <cell r="E531" t="str">
            <v>Rivadavia</v>
          </cell>
          <cell r="F531" t="str">
            <v>https://maps.google.com/maps?q=-31.5132859%2C-68.5815815&amp;z=17&amp;hl=es</v>
          </cell>
          <cell r="G531" t="str">
            <v>https://www.google.com/maps/dir/Catamarca+Sur+664,+San+Juan/Col.+Prov.+B%C2%B0+Parque+Rivadavia+Norte,+Eva+Duarte+de+Per%C3%B3n,+J5406+Rivadavia,+San+Juan/Catamarca+Sur+664,+San+Juan/@-31.5340182,-68.5971205,9875m/data=!3m2!1e3!4b1!4m20!4m19!1m5!1m1!1s0x9681402690dd76eb:0x4b283f8fe10ce3f3!2m2!1d-68.5293623!2d-31.542635!1m5!1m1!1s0x96814172e265a52f:0xcdd309cd9041a433!2m2!1d-68.5816767!2d-31.5129827!1m5!1m1!1s0x9681402690dd76eb:0x4b283f8fe10ce3f3!2m2!1d-68.5293623!2d-31.542635!3e0?hl=es&amp;entry=ttu&amp;g_ep=EgoyMDI1MDgxOS4wIKXMDSoASAFQAw%3D%3D</v>
          </cell>
          <cell r="H531">
            <v>18</v>
          </cell>
        </row>
        <row r="532">
          <cell r="D532" t="str">
            <v>ZELLBJEJ40000DA</v>
          </cell>
          <cell r="E532" t="str">
            <v>Rivadavia</v>
          </cell>
          <cell r="F532" t="str">
            <v>https://maps.google.com/maps?q=-31.5400481%2C-68.6170914&amp;z=17&amp;hl=es</v>
          </cell>
          <cell r="G532" t="str">
            <v>https://www.google.com/maps/dir/Catamarca+Sur+664,+San+Juan/-31.5400481,-68.6170914/Catamarca+Sur+664,+San+Juan/@-31.5411129,-68.6144453,9875m/data=!3m2!1e3!4b1!4m15!4m14!1m5!1m1!1s0x9681402690dd76eb:0x4b283f8fe10ce3f3!2m2!1d-68.5293623!2d-31.542635!1m0!1m5!1m1!1s0x9681402690dd76eb:0x4b283f8fe10ce3f3!2m2!1d-68.5293623!2d-31.542635!3e0?hl=es&amp;entry=ttu&amp;g_ep=EgoyMDI1MDgxOS4wIKXMDSoASAFQAw%3D%3D</v>
          </cell>
          <cell r="H532">
            <v>17.899999999999999</v>
          </cell>
        </row>
        <row r="533">
          <cell r="D533" t="str">
            <v>ZELLBJEJ500057X</v>
          </cell>
          <cell r="E533" t="str">
            <v>Rivadavia</v>
          </cell>
          <cell r="F533" t="str">
            <v>https://maps.google.com/maps?q=-31.5237017%2C-68.629805&amp;z=17&amp;hl=es</v>
          </cell>
          <cell r="G533" t="str">
            <v>https://www.google.com/maps/dir/Catamarca+Sur+664,+San+Juan/Escuela+Pedro+De+M%C3%A1rquez,+Rivadavia,+San+Juan/Catamarca+Sur+664,+San+Juan/@-31.533812,-68.6207359,9875m/data=!3m2!1e3!4b1!4m20!4m19!1m5!1m1!1s0x9681402690dd76eb:0x4b283f8fe10ce3f3!2m2!1d-68.5293623!2d-31.542635!1m5!1m1!1s0x968147063c539d47:0xb7f9ebd15d690aa2!2m2!1d-68.6297096!2d-31.5238689!1m5!1m1!1s0x9681402690dd76eb:0x4b283f8fe10ce3f3!2m2!1d-68.5293623!2d-31.542635!3e0?hl=es&amp;entry=ttu&amp;g_ep=EgoyMDI1MDgxOS4wIKXMDSoASAFQAw%3D%3D</v>
          </cell>
          <cell r="H533">
            <v>21.8</v>
          </cell>
        </row>
        <row r="534">
          <cell r="D534" t="str">
            <v>ZELLBJEJ50004RZ</v>
          </cell>
          <cell r="E534" t="str">
            <v>Capital</v>
          </cell>
          <cell r="F534" t="str">
            <v>https://maps.google.com/maps?q=-31.5347648%2C-68.5280578&amp;z=17&amp;hl=es</v>
          </cell>
          <cell r="G534" t="str">
            <v>https://www.google.com/maps/dir/Catamarca+Sur+664,+San+Juan/-31.5347648,-68.5280578/Catamarca+Sur+664,+San+Juan/@-31.5386681,-68.5329585,1234m/data=!3m2!1e3!4b1!4m15!4m14!1m5!1m1!1s0x9681402690dd76eb:0x4b283f8fe10ce3f3!2m2!1d-68.5293623!2d-31.542635!1m0!1m5!1m1!1s0x9681402690dd76eb:0x4b283f8fe10ce3f3!2m2!1d-68.5293623!2d-31.542635!3e0?hl=es&amp;entry=ttu&amp;g_ep=EgoyMDI1MDgxOS4wIKXMDSoASAFQAw%3D%3D</v>
          </cell>
          <cell r="H534">
            <v>2.7</v>
          </cell>
        </row>
        <row r="535">
          <cell r="D535" t="str">
            <v>ZELLBJAH70000AX</v>
          </cell>
          <cell r="E535" t="str">
            <v>RIVADAVIA</v>
          </cell>
          <cell r="F535" t="str">
            <v>https://maps.google.com/maps?q=-31.5501752%2C-68.5579803&amp;z=17&amp;hl=es</v>
          </cell>
          <cell r="G535" t="str">
            <v>https://www.google.com/maps/dir/Catamarca+Sur+664,+San+Juan/Escuela+Policia+de+la+Provincia+de+San+Juan,+Nicol%C3%A1s+Avellaneda+Oeste+2951,+J5400+Rivadavia,+San+Juan/Catamarca+Sur+664,+San+Juan/@-31.5475286,-68.5539369,2468m/data=!3m2!1e3!4b1!4m20!4m19!1m5!1m1!1s0x9681402690dd76eb:0x4b283f8fe10ce3f3!2m2!1d-68.5293623!2d-31.542635!1m5!1m1!1s0x968141a15492bc77:0x8f3e8db0231ec74d!2m2!1d-68.5578984!2d-31.5502562!1m5!1m1!1s0x9681402690dd76eb:0x4b283f8fe10ce3f3!2m2!1d-68.5293623!2d-31.542635!3e0?hl=es&amp;entry=ttu&amp;g_ep=EgoyMDI1MDgxOS4wIKXMDSoASAFQAw%3D%3D</v>
          </cell>
          <cell r="H535">
            <v>8.1999999999999993</v>
          </cell>
        </row>
        <row r="536">
          <cell r="D536" t="str">
            <v>07QWB9UFAA0018X</v>
          </cell>
          <cell r="E536" t="str">
            <v>Rivadavia</v>
          </cell>
          <cell r="F536" t="str">
            <v>https://maps.google.com/maps?q=-31.5369538%2C-68.59114&amp;z=17&amp;hl=es</v>
          </cell>
          <cell r="G536" t="str">
            <v>https://www.google.com/maps/dir/Catamarca+Sur+664,+San+Juan/Escuela+Independencia+Argentina,+Juan+Lavalle+Oeste,+J5400+Rivadavia,+San+Juan/Catamarca+Sur+664,+San+Juan/@-31.5390361,-68.5809695,4937m/data=!3m2!1e3!4b1!4m20!4m19!1m5!1m1!1s0x9681402690dd76eb:0x4b283f8fe10ce3f3!2m2!1d-68.5293623!2d-31.542635!1m5!1m1!1s0x9681415bc0e6ba6f:0xaf760079a7c09524!2m2!1d-68.5913588!2d-31.5366811!1m5!1m1!1s0x9681402690dd76eb:0x4b283f8fe10ce3f3!2m2!1d-68.5293623!2d-31.542635!3e0?hl=es&amp;entry=ttu&amp;g_ep=EgoyMDI1MDgxOS4wIKXMDSoASAFQAw%3D%3D</v>
          </cell>
          <cell r="H536">
            <v>13.7</v>
          </cell>
        </row>
        <row r="537">
          <cell r="D537" t="str">
            <v>07QWB9UFAA000FX</v>
          </cell>
          <cell r="E537" t="str">
            <v>Rivadavia</v>
          </cell>
          <cell r="F537" t="str">
            <v>https://maps.google.com/maps?q=-31.5537197%2C-68.5650381&amp;z=17&amp;hl=es</v>
          </cell>
          <cell r="G537" t="str">
            <v>https://www.google.com/maps/dir/Catamarca+Sur+664,+San+Juan/Escuela+Docentes+Sanjuaninos,+C.+Esmeralda,+J5400+Rivadavia,+San+Juan/Catamarca+Sur+664,+San+Juan/@-31.5475271,-68.5678339,4937m/data=!3m2!1e3!4b1!4m20!4m19!1m5!1m1!1s0x9681402690dd76eb:0x4b283f8fe10ce3f3!2m2!1d-68.5293623!2d-31.542635!1m5!1m1!1s0x9681405dc880df17:0xebf2552c7e8789e7!2m2!1d-68.5649895!2d-31.5535823!1m5!1m1!1s0x9681402690dd76eb:0x4b283f8fe10ce3f3!2m2!1d-68.5293623!2d-31.542635!3e0?hl=es&amp;entry=ttu&amp;g_ep=EgoyMDI1MDgxOS4wIKXMDSoASAFQAw%3D%3D</v>
          </cell>
          <cell r="H537">
            <v>10.1</v>
          </cell>
        </row>
        <row r="538">
          <cell r="D538" t="str">
            <v>ZELLBJFK9000YFX</v>
          </cell>
          <cell r="E538" t="str">
            <v>Rivadavia</v>
          </cell>
          <cell r="F538" t="str">
            <v>https://maps.google.com/maps?q=-31.5165614%2C-68.5984681&amp;z=17&amp;hl=es</v>
          </cell>
          <cell r="G538" t="str">
            <v>https://www.google.com/maps/dir/Catamarca+Sur+664,+San+Juan/Escuela+Timoteo+Maradona,+Sgto+Cabral+Oeste+5369,+J5400+Rivadavia,+San+Juan/Catamarca+Sur+664,+San+Juan/@-31.5354695,-68.6048941,9875m/data=!3m2!1e3!4b1!4m20!4m19!1m5!1m1!1s0x9681402690dd76eb:0x4b283f8fe10ce3f3!2m2!1d-68.5293623!2d-31.542635!1m5!1m1!1s0x968141406a13b2d3:0x1db13f4af49dbafd!2m2!1d-68.5980001!2d-31.516533!1m5!1m1!1s0x9681402690dd76eb:0x4b283f8fe10ce3f3!2m2!1d-68.5293623!2d-31.542635!3e0?hl=es&amp;entry=ttu&amp;g_ep=EgoyMDI1MDgxOS4wIKXMDSoASAFQAw%3D%3D</v>
          </cell>
          <cell r="H538">
            <v>19.7</v>
          </cell>
        </row>
        <row r="539">
          <cell r="D539" t="str">
            <v>ZELLBJEJA0002KE</v>
          </cell>
          <cell r="E539" t="str">
            <v>Rivadavia</v>
          </cell>
          <cell r="F539" t="str">
            <v>https://maps.app.goo.gl/eV2iX5up7Um7DxfSA</v>
          </cell>
          <cell r="G539" t="str">
            <v>https://www.google.com/maps/dir/Catamarca+Sur+664,+San+Juan/Escuela+Roque+Saenz+Pe%C3%B1a,+Av.+Libertador+Gral.+San+Mart%C3%ADn,+Rivadavia,+San+Juan/Catamarca+Sur+664,+San+Juan/@-31.533812,-68.6221783,9875m/data=!3m2!1e3!4b1!4m20!4m19!1m5!1m1!1s0x9681402690dd76eb:0x4b283f8fe10ce3f3!2m2!1d-68.5293623!2d-31.542635!1m5!1m1!1s0x968146c571cfd03b:0xd185bb9768354a64!2m2!1d-68.6311891!2d-31.5260688!1m5!1m1!1s0x9681402690dd76eb:0x4b283f8fe10ce3f3!2m2!1d-68.5293623!2d-31.542635!3e0?entry=ttu&amp;g_ep=EgoyMDI1MDgxOS4wIKXMDSoASAFQAw%3D%3D</v>
          </cell>
          <cell r="H539">
            <v>22.3</v>
          </cell>
        </row>
        <row r="540">
          <cell r="D540" t="str">
            <v>ZELLBJFK9000DEF</v>
          </cell>
          <cell r="E540" t="str">
            <v>Pocito</v>
          </cell>
          <cell r="F540" t="str">
            <v>https://maps.google.com/maps?q=-31.6089408%2C-68.6016535&amp;z=17&amp;hl=es</v>
          </cell>
          <cell r="G540" t="str">
            <v>https://www.google.com/maps/dir/Catamarca+Sur+664,+San+Juan/Escuela+M.+M.+de+G%C3%BCemes,+Pocito,+San+Juan/Catamarca+Sur+664,+San+Juan/@-31.5769334,-68.6061037,9871m/data=!3m2!1e3!4b1!4m20!4m19!1m5!1m1!1s0x9681402690dd76eb:0x4b283f8fe10ce3f3!2m2!1d-68.5293623!2d-31.542635!1m5!1m1!1s0x96813f3ed1486ae5:0x931938a33ffd4c63!2m2!1d-68.6016589!2d-31.6088727!1m5!1m1!1s0x9681402690dd76eb:0x4b283f8fe10ce3f3!2m2!1d-68.5293623!2d-31.542635!3e0?hl=es&amp;entry=ttu&amp;g_ep=EgoyMDI1MDgxOS4wIKXMDSoASAFQAw%3D%3D</v>
          </cell>
          <cell r="H540">
            <v>26.8</v>
          </cell>
        </row>
        <row r="541">
          <cell r="D541" t="str">
            <v>ZELLBJFK900061A</v>
          </cell>
          <cell r="E541" t="str">
            <v>Rivadavia</v>
          </cell>
          <cell r="F541" t="str">
            <v>https://maps.google.com/maps?q=-31.5126827%2C-68.5699838&amp;z=17&amp;hl=es</v>
          </cell>
          <cell r="G541" t="str">
            <v>https://www.google.com/maps/dir/Catamarca+Sur+664,+San+Juan/E.E.E.+MULTIPLE+DE+RIVADAVIA,+J5400+Rivadavia,+San+Juan/Catamarca+Sur+664,+San+Juan/@-31.533983,-68.5910661,9875m/data=!3m2!1e3!4b1!4m20!4m19!1m5!1m1!1s0x9681402690dd76eb:0x4b283f8fe10ce3f3!2m2!1d-68.5293623!2d-31.542635!1m5!1m1!1s0x9681419f842d530b:0xe3bddb2035258207!2m2!1d-68.5700278!2d-31.5127903!1m5!1m1!1s0x9681402690dd76eb:0x4b283f8fe10ce3f3!2m2!1d-68.5293623!2d-31.542635!3e0?hl=es&amp;entry=ttu&amp;g_ep=EgoyMDI1MDgxOS4wIKXMDSoASAFQAw%3D%3D</v>
          </cell>
          <cell r="H541">
            <v>15.8</v>
          </cell>
        </row>
        <row r="542">
          <cell r="D542" t="str">
            <v>ZELLBJFK20006ZM</v>
          </cell>
          <cell r="E542" t="str">
            <v>POCITO</v>
          </cell>
          <cell r="F542" t="str">
            <v>https://maps.google.com/maps?q=-31.6249845%2C-68.5289644&amp;z=17&amp;hl=es</v>
          </cell>
          <cell r="G542" t="str">
            <v>https://www.google.com/maps/dir/Catamarca+Sur+664,+San+Juan/Escuela+Justo+Jose+De+Urquiza,+Pocito,+San+Juan/Catamarca+Sur+664,+San+Juan/@-31.5830658,-68.605566,19740m/data=!3m1!1e3!4m20!4m19!1m5!1m1!1s0x9681402690dd76eb:0x4b283f8fe10ce3f3!2m2!1d-68.5293623!2d-31.542635!1m5!1m1!1s0x96813e289bb24c79:0xd299c19ef404ddd1!2m2!1d-68.5286848!2d-31.6251162!1m5!1m1!1s0x9681402690dd76eb:0x4b283f8fe10ce3f3!2m2!1d-68.5293623!2d-31.542635!3e0?hl=es&amp;entry=ttu&amp;g_ep=EgoyMDI1MDgxOS4wIKXMDSoASAFQAw%3D%3D</v>
          </cell>
          <cell r="H542">
            <v>23.1</v>
          </cell>
        </row>
        <row r="543">
          <cell r="D543" t="str">
            <v>ZELLBJFJA00044T</v>
          </cell>
          <cell r="E543" t="str">
            <v>POCITO</v>
          </cell>
          <cell r="F543" t="str">
            <v>https://maps.google.com/maps?q=-31.6276767%2C-68.5850647&amp;z=17&amp;hl=es</v>
          </cell>
          <cell r="G543" t="str">
            <v>https://www.google.com/maps/dir/Catamarca+Sur+664,+San+Juan/Escuela+Jos%C3%A9+Mar%C3%ADa+Torres,+Pocito,+San+Juan/Catamarca+Sur+664,+San+Juan/@-31.5865207,-68.6323682,19740m/data=!3m2!1e3!4b1!4m20!4m19!1m5!1m1!1s0x9681402690dd76eb:0x4b283f8fe10ce3f3!2m2!1d-68.5293623!2d-31.542635!1m5!1m1!1s0x96813ee3284e27ab:0xb72831fb88ff0749!2m2!1d-68.5850363!2d-31.6274748!1m5!1m1!1s0x9681402690dd76eb:0x4b283f8fe10ce3f3!2m2!1d-68.5293623!2d-31.542635!3e0?hl=es&amp;entry=ttu&amp;g_ep=EgoyMDI1MDgxOS4wIKXMDSoASAFQAw%3D%3D</v>
          </cell>
          <cell r="H543">
            <v>29.5</v>
          </cell>
        </row>
        <row r="544">
          <cell r="D544" t="str">
            <v>79G32FN</v>
          </cell>
          <cell r="E544" t="str">
            <v>POCITO (Quinto Cuartel)</v>
          </cell>
          <cell r="F544" t="str">
            <v>https://maps.google.com/maps?q=-31.6495506%2C-68.6031443&amp;z=17&amp;hl=es</v>
          </cell>
          <cell r="G544" t="str">
            <v>https://www.google.com/maps/dir/Catamarca+Sur+664,+San+Juan/ESCUELA+SECUNDARIA+12+DE+AGOSTO,+Pocito,+San+Juan/Catamarca+Sur+664,+San+Juan/@-31.5980668,-68.640901,19737m/data=!3m2!1e3!4b1!4m20!4m19!1m5!1m1!1s0x9681402690dd76eb:0x4b283f8fe10ce3f3!2m2!1d-68.5293623!2d-31.542635!1m5!1m1!1s0x96813fb64c38a47b:0x78d897382b1b85e4!2m2!1d-68.6033135!2d-31.6496323!1m5!1m1!1s0x9681402690dd76eb:0x4b283f8fe10ce3f3!2m2!1d-68.5293623!2d-31.542635!3e0?hl=es&amp;entry=ttu&amp;g_ep=EgoyMDI1MDgxOS4wIKXMDSoASAFQAw%3D%3D</v>
          </cell>
          <cell r="H544">
            <v>41.7</v>
          </cell>
        </row>
        <row r="545">
          <cell r="D545" t="str">
            <v>ZELLBJFJA0001WW</v>
          </cell>
          <cell r="E545" t="str">
            <v>Caucete</v>
          </cell>
          <cell r="F545" t="str">
            <v>https://maps.google.com/maps?q=-31.6663568%2C-68.2691581&amp;z=17&amp;hl=es</v>
          </cell>
          <cell r="G545" t="str">
            <v>https://www.google.com/maps/dir/Catamarca+Sur+664,+San+Juan/Escuela+Los+Manantiales,+J.+M.+Rodr%C3%ADguez,+J5442+San+Juan/Catamarca+Sur+664,+San+Juan/@-31.6040019,-68.4824846,19736m/data=!3m2!1e3!4b1!4m20!4m19!1m5!1m1!1s0x9681402690dd76eb:0x4b283f8fe10ce3f3!2m2!1d-68.5293623!2d-31.542635!1m5!1m1!1s0x96810f1a33fd98ef:0xd396461813a72cbc!2m2!1d-68.2691775!2d-31.6664654!1m5!1m1!1s0x9681402690dd76eb:0x4b283f8fe10ce3f3!2m2!1d-68.5293623!2d-31.542635!3e0?hl=es&amp;entry=ttu&amp;g_ep=EgoyMDI1MDgxOS4wIKXMDSoASAFQAw%3D%3D</v>
          </cell>
          <cell r="H545">
            <v>64.099999999999994</v>
          </cell>
        </row>
        <row r="546">
          <cell r="D546" t="str">
            <v>07QWB9UG2A002JH</v>
          </cell>
          <cell r="E546" t="str">
            <v>Pocito</v>
          </cell>
          <cell r="F546" t="str">
            <v>https://maps.google.com/maps?q=-31.6928704%2C-68.5879857&amp;z=17&amp;hl=es</v>
          </cell>
          <cell r="G546" t="str">
            <v>https://www.google.com/maps/dir/Catamarca+Sur+664,+San+Juan/Escuela+Jose+Rudecindo+Rojo,+RP9+4515,+Pocito,+San+Juan/Catamarca+Sur+664,+San+Juan/@-31.6197952,-68.6331276,19733m/data=!3m2!1e3!4b1!4m20!4m19!1m5!1m1!1s0x9681402690dd76eb:0x4b283f8fe10ce3f3!2m2!1d-68.5293623!2d-31.542635!1m5!1m1!1s0x96813c470215742d:0x806066b1c10f7539!2m2!1d-68.587748!2d-31.6930261!1m5!1m1!1s0x9681402690dd76eb:0x4b283f8fe10ce3f3!2m2!1d-68.5293623!2d-31.542635!3e0?hl=es&amp;entry=ttu&amp;g_ep=EgoyMDI1MDgxOS4wIKXMDSoASAFQAw%3D%3D</v>
          </cell>
          <cell r="H546">
            <v>45.6</v>
          </cell>
        </row>
        <row r="547">
          <cell r="D547" t="str">
            <v>07QWB9UG3A001XR</v>
          </cell>
          <cell r="E547" t="str">
            <v>Chimbas</v>
          </cell>
          <cell r="F547" t="str">
            <v>https://maps.google.com/maps?q=-31.501783%2C-68.5134203&amp;z=17&amp;hl=es</v>
          </cell>
          <cell r="G547" t="str">
            <v>https://www.google.com/maps/dir/Catamarca+Sur+664,+San+Juan/Colegio+Alvar+Lopez,+Greco,+Sta.+Cruz+%26,+Chimbas,+San+Juan/Catamarca+Sur+664,+San+Juan/@-31.5284232,-68.5606227,9876m/data=!3m2!1e3!4b1!4m20!4m19!1m5!1m1!1s0x9681402690dd76eb:0x4b283f8fe10ce3f3!2m2!1d-68.5293623!2d-31.542635!1m5!1m1!1s0x96816a0d6a413121:0xb2364acb2fa40da1!2m2!1d-68.5136101!2d-31.5020129!1m5!1m1!1s0x9681402690dd76eb:0x4b283f8fe10ce3f3!2m2!1d-68.5293623!2d-31.542635!3e0?hl=es&amp;entry=ttu&amp;g_ep=EgoyMDI1MDgxOS4wIKXMDSoASAFQAw%3D%3D</v>
          </cell>
          <cell r="H547">
            <v>17.3</v>
          </cell>
        </row>
        <row r="548">
          <cell r="D548" t="str">
            <v>ZELLBJEK30002JH</v>
          </cell>
          <cell r="E548" t="str">
            <v>Rawson</v>
          </cell>
          <cell r="F548" t="str">
            <v>https://maps.google.com/maps?q=-31.5725024%2C-68.5303733&amp;z=17&amp;hl=es</v>
          </cell>
          <cell r="G548" t="str">
            <v>https://www.google.com/maps/dir/Catamarca+Sur+664,+San+Juan/Escuela+De+Educacion+Especial+Carolina+T.+Garc%C3%ADa,+escuela+de+educaci%C3%B3n+especial+cerca+de+Carolina+Tobar+Garc%C3%ADa,+J5425+Villa+Krause,+San+Juan/Catamarca+Sur+664,+San+Juan/@-31.5573234,-68.5498186,4936m/data=!3m2!1e3!4b1!4m20!4m19!1m5!1m1!1s0x9681402690dd76eb:0x4b283f8fe10ce3f3!2m2!1d-68.5293623!2d-31.542635!1m5!1m1!1s0x96813fff4de118ad:0x9fe843e4f713171f!2m2!1d-68.5302825!2d-31.5722095!1m5!1m1!1s0x9681402690dd76eb:0x4b283f8fe10ce3f3!2m2!1d-68.5293623!2d-31.542635!3e0?hl=es&amp;entry=ttu&amp;g_ep=EgoyMDI1MDgxOS4wIKXMDSoASAFQAw%3D%3D</v>
          </cell>
          <cell r="H548">
            <v>8.4</v>
          </cell>
        </row>
        <row r="549">
          <cell r="D549" t="str">
            <v>ZELLBJEK300031L</v>
          </cell>
          <cell r="E549" t="str">
            <v>Rawson</v>
          </cell>
          <cell r="F549" t="str">
            <v>https://maps.google.com/maps/search/Escuela%20Crist%C3%B3bal%20Col%C3%B3n/@-31.6206334,-68.4633328,17z?hl=es</v>
          </cell>
          <cell r="G549" t="str">
            <v>https://www.google.com/maps/dir/Catamarca+Sur+664,+San+Juan/Escuela+Cristobal+Col%C3%B3n,+San+Juan/Catamarca+Sur+664,+San+Juan/@-31.5809015,-68.5383468,9870m/data=!3m2!1e3!4b1!4m20!4m19!1m5!1m1!1s0x9681402690dd76eb:0x4b283f8fe10ce3f3!2m2!1d-68.5293623!2d-31.542635!1m5!1m1!1s0x968114466dadf091:0xa5d530ae27c47188!2m2!1d-68.4633266!2d-31.6203933!1m5!1m1!1s0x9681402690dd76eb:0x4b283f8fe10ce3f3!2m2!1d-68.5293623!2d-31.542635!3e0?hl=es&amp;entry=ttu&amp;g_ep=EgoyMDI1MDgxOS4wIKXMDSoASAFQAw%3D%3D</v>
          </cell>
          <cell r="H549">
            <v>26</v>
          </cell>
        </row>
        <row r="550">
          <cell r="D550" t="str">
            <v>ZELLBJFJA00031T</v>
          </cell>
          <cell r="E550" t="str">
            <v>Pocito</v>
          </cell>
          <cell r="F550" t="str">
            <v>https://maps.google.com/maps?q=-31.6928704%2C-68.5879857&amp;z=17&amp;hl=es</v>
          </cell>
          <cell r="G550" t="str">
            <v>https://www.google.com/maps/dir/Catamarca+Sur+664,+San+Juan/Escuela+Jose+Rudecindo+Rojo,+RP9+4515,+Pocito,+San+Juan/Catamarca+Sur+664,+San+Juan/@-31.6197952,-68.6331276,19733m/data=!3m2!1e3!4b1!4m20!4m19!1m5!1m1!1s0x9681402690dd76eb:0x4b283f8fe10ce3f3!2m2!1d-68.5293623!2d-31.542635!1m5!1m1!1s0x96813c470215742d:0x806066b1c10f7539!2m2!1d-68.587748!2d-31.6930261!1m5!1m1!1s0x9681402690dd76eb:0x4b283f8fe10ce3f3!2m2!1d-68.5293623!2d-31.542635!3e0?hl=es&amp;entry=ttu&amp;g_ep=EgoyMDI1MDgxOS4wIKXMDSoASAFQAw%3D%3D</v>
          </cell>
          <cell r="H550">
            <v>45.6</v>
          </cell>
        </row>
        <row r="551">
          <cell r="D551" t="str">
            <v>ZELLBJFK20001XW</v>
          </cell>
          <cell r="E551" t="str">
            <v>Chimbas</v>
          </cell>
          <cell r="F551" t="str">
            <v>https://maps.google.com/maps?q=-31.4984639%2C-68.5696609&amp;z=17&amp;hl=es</v>
          </cell>
          <cell r="G551" t="str">
            <v>https://www.google.com/maps/dir/Catamarca+Sur+664,+San+Juan/Escuela+Isabel+Girones,+C.+Cipolletti+N+12,+J5413+Chimbas,+San+Juan/Catamarca+Sur+664,+San+Juan/@-31.5200566,-68.590723,9877m/data=!3m1!1e3!4m20!4m19!1m5!1m1!1s0x9681402690dd76eb:0x4b283f8fe10ce3f3!2m2!1d-68.5293623!2d-31.542635!1m5!1m1!1s0x96814183b6bbf3c1:0xfb3f4062454fc7f6!2m2!1d-68.5696733!2d-31.4986282!1m5!1m1!1s0x9681402690dd76eb:0x4b283f8fe10ce3f3!2m2!1d-68.5293623!2d-31.542635!3e0?hl=es&amp;entry=ttu&amp;g_ep=EgoyMDI1MDgxOS4wIKXMDSoASAFQAw%3D%3D</v>
          </cell>
          <cell r="H551">
            <v>18.8</v>
          </cell>
        </row>
        <row r="552">
          <cell r="D552" t="str">
            <v>07QWB9UFAA007LM</v>
          </cell>
          <cell r="E552" t="str">
            <v>Chimbas</v>
          </cell>
          <cell r="F552" t="str">
            <v>https://maps.google.com/maps?q=-31.4931738%2C-68.5469855&amp;z=17&amp;hl=es</v>
          </cell>
          <cell r="G552" t="str">
            <v>https://www.google.com/maps/dir/Catamarca+Sur+664,+San+Juan/Escuela+Presidente+Avellaneda,+Gral.+Urquiza+Norte+1653,+J5413+Chimbas,+San+Juan/Catamarca+Sur+664,+San+Juan/@-31.5186197,-68.5790075,9877m/data=!3m2!1e3!4b1!4m20!4m19!1m5!1m1!1s0x9681402690dd76eb:0x4b283f8fe10ce3f3!2m2!1d-68.5293623!2d-31.542635!1m5!1m1!1s0x968141f49d48852b:0xba079f69668366ab!2m2!1d-68.5462432!2d-31.4930395!1m5!1m1!1s0x9681402690dd76eb:0x4b283f8fe10ce3f3!2m2!1d-68.5293623!2d-31.542635!3e0?hl=es&amp;entry=ttu&amp;g_ep=EgoyMDI1MDgxOS4wIKXMDSoASAFQAw%3D%3D</v>
          </cell>
          <cell r="H552">
            <v>12.9</v>
          </cell>
        </row>
        <row r="553">
          <cell r="D553" t="str">
            <v>07QWB9UFAA004XM</v>
          </cell>
          <cell r="E553" t="str">
            <v>Chimbas</v>
          </cell>
          <cell r="F553" t="str">
            <v>https://maps.google.com/maps?q=-31.5103304%2C-68.5862128&amp;z=17&amp;hl=es</v>
          </cell>
          <cell r="G553" t="str">
            <v>https://www.google.com/maps/dir/Catamarca+Sur+664,+San+Juan/Escuela+Arturo+Illia,+Av.+Nazario+Benavidez+Oeste+4771,+Chimbas,+San+Juan/Catamarca+Sur+664,+San+Juan/@-31.5327128,-68.5989464,9876m/data=!3m2!1e3!4b1!4m20!4m19!1m5!1m1!1s0x9681402690dd76eb:0x4b283f8fe10ce3f3!2m2!1d-68.5293623!2d-31.542635!1m5!1m1!1s0x9681416e6d0d2f81:0x6b4b0aade2b6e5b7!2m2!1d-68.5861306!2d-31.5101283!1m5!1m1!1s0x9681402690dd76eb:0x4b283f8fe10ce3f3!2m2!1d-68.5293623!2d-31.542635!3e0?hl=es&amp;entry=ttu&amp;g_ep=EgoyMDI1MDgxOS4wIKXMDSoASAFQAw%3D%3D</v>
          </cell>
          <cell r="H553">
            <v>19.2</v>
          </cell>
        </row>
        <row r="554">
          <cell r="D554" t="str">
            <v>ZELLBJFJB0006RX</v>
          </cell>
          <cell r="E554" t="str">
            <v>CHIMBAS</v>
          </cell>
          <cell r="F554" t="str">
            <v>https://maps.google.com/maps?q=-31.5044583%2C-68.5995501&amp;z=17&amp;hl=es</v>
          </cell>
          <cell r="G554" t="str">
            <v>https://www.google.com/maps/dir/Catamarca+Sur+664,+San+Juan/Escuela+Rep%C3%BAblica+Oriental+Del+Uruguay,+Rastreador+Calivar+Nte.,+J5413+Chimbas,+San+Juan/Catamarca+Sur+664,+San+Juan/@-31.5296903,-68.6057198,9876m/data=!3m2!1e3!4b1!4m20!4m19!1m5!1m1!1s0x9681402690dd76eb:0x4b283f8fe10ce3f3!2m2!1d-68.5293623!2d-31.542635!1m5!1m1!1s0x9681415c54374153:0x72a8914ad180c518!2m2!1d-68.599113!2d-31.5041855!1m5!1m1!1s0x9681402690dd76eb:0x4b283f8fe10ce3f3!2m2!1d-68.5293623!2d-31.542635!3e0?hl=es&amp;entry=ttu&amp;g_ep=EgoyMDI1MDgxOS4wIKXMDSoASAFQAw%3D%3D</v>
          </cell>
          <cell r="H554">
            <v>22.5</v>
          </cell>
        </row>
        <row r="555">
          <cell r="D555" t="str">
            <v>ZELLBJFJA0001HD</v>
          </cell>
          <cell r="E555" t="str">
            <v>Rawson</v>
          </cell>
          <cell r="F555" t="str">
            <v>https://maps.google.com/maps?q=-31.6492399%2C-68.5013668&amp;z=17&amp;hl=es</v>
          </cell>
          <cell r="G555" t="str">
            <v>https://www.google.com/maps/dir/Catamarca+Sur+664,+San+Juan/Juana+Cardodo.+A,+Rawson,+San+Juan/Catamarca+Sur+664,+San+Juan/@-31.5964713,-68.6014712,19738m/data=!3m2!1e3!4b1!4m20!4m19!1m5!1m1!1s0x9681402690dd76eb:0x4b283f8fe10ce3f3!2m2!1d-68.5293623!2d-31.542635!1m5!1m1!1s0x9681153f50c0d433:0x8359b84aa6728532!2m2!1d-68.5012891!2d-31.6492098!1m5!1m1!1s0x9681402690dd76eb:0x4b283f8fe10ce3f3!2m2!1d-68.5293623!2d-31.542635!3e0?hl=es&amp;entry=ttu&amp;g_ep=EgoyMDI1MDgxOS4wIKXMDSoASAFQAw%3D%3D</v>
          </cell>
          <cell r="H555">
            <v>32.700000000000003</v>
          </cell>
        </row>
        <row r="556">
          <cell r="D556" t="str">
            <v>ZELLBJFK20002HP</v>
          </cell>
          <cell r="E556" t="str">
            <v>RAWSON</v>
          </cell>
          <cell r="F556" t="str">
            <v>https://maps.google.com/maps?q=-31.5769082%2C-68.48154&amp;z=17&amp;hl=es</v>
          </cell>
          <cell r="G556" t="str">
            <v>https://www.google.com/maps/dir/Catamarca+Sur+664,+San+Juan/MISION+MONOTECNICA+Y+DE+EXTENCION+CULTURAL+N%C2%BA+14:,+San+Juan/Catamarca+Sur+664,+San+Juan/@-31.559593,-68.5265568,4936m/data=!3m2!1e3!4b1!4m20!4m19!1m5!1m1!1s0x9681402690dd76eb:0x4b283f8fe10ce3f3!2m2!1d-68.5293623!2d-31.542635!1m5!1m1!1s0x968115268d594597:0xf2f24382da958a88!2m2!1d-68.4815748!2d-31.5772579!1m5!1m1!1s0x9681402690dd76eb:0x4b283f8fe10ce3f3!2m2!1d-68.5293623!2d-31.542635!3e0?hl=es&amp;entry=ttu&amp;g_ep=EgoyMDI1MDgxOS4wIKXMDSoASAFQAw%3D%3D</v>
          </cell>
          <cell r="H556">
            <v>14.9</v>
          </cell>
        </row>
        <row r="557">
          <cell r="D557" t="str">
            <v>79G32FL</v>
          </cell>
          <cell r="E557" t="str">
            <v>POCITO</v>
          </cell>
          <cell r="F557" t="str">
            <v>https://maps.google.com/maps?q=-31.6706323%2C-68.5624052&amp;z=17&amp;hl=es</v>
          </cell>
          <cell r="G557" t="str">
            <v>https://www.google.com/maps/dir/Catamarca+Sur+664,+San+Juan/Escuela+Clte.+Eleazar+Videla,+C.+12,+San+Juan/Catamarca+Sur+664,+San+Juan/@-31.6081867,-68.6205743,19735m/data=!3m2!1e3!4b1!4m20!4m19!1m5!1m1!1s0x9681402690dd76eb:0x4b283f8fe10ce3f3!2m2!1d-68.5293623!2d-31.542635!1m5!1m1!1s0x96813d80aa916ac3:0x5863bb44f31adcb2!2m2!1d-68.5626845!2d-31.6711721!1m5!1m1!1s0x9681402690dd76eb:0x4b283f8fe10ce3f3!2m2!1d-68.5293623!2d-31.542635!3e0?hl=es&amp;entry=ttu&amp;g_ep=EgoyMDI1MDgxOS4wIKXMDSoASAFQAw%3D%3D</v>
          </cell>
          <cell r="H557">
            <v>36.1</v>
          </cell>
        </row>
        <row r="558">
          <cell r="D558" t="str">
            <v>ZELLBJFJA0003SJ</v>
          </cell>
          <cell r="E558" t="str">
            <v>Rawson</v>
          </cell>
          <cell r="F558" t="str">
            <v>https://maps.google.com/maps?q=-31.658355%2C-68.5136217&amp;z=17&amp;hl=es</v>
          </cell>
          <cell r="G558" t="str">
            <v>https://www.google.com/maps/dir/Catamarca+Sur+664,+San+Juan/Escuela+Hector+Conte+Grand,+RP207,+San+Juan/Catamarca+Sur+664,+San+Juan/@-31.5996677,-68.6066371,19737m/data=!3m2!1e3!4b1!4m20!4m19!1m5!1m1!1s0x9681402690dd76eb:0x4b283f8fe10ce3f3!2m2!1d-68.5293623!2d-31.542635!1m5!1m1!1s0x96811609233de623:0xdeab27a1c0bff209!2m2!1d-68.513372!2d-31.6583182!1m5!1m1!1s0x9681402690dd76eb:0x4b283f8fe10ce3f3!2m2!1d-68.5293623!2d-31.542635!3e0?hl=es&amp;entry=ttu&amp;g_ep=EgoyMDI1MDgxOS4wIKXMDSoASAFQAw%3D%3D</v>
          </cell>
          <cell r="H558">
            <v>32.6</v>
          </cell>
        </row>
        <row r="559">
          <cell r="D559" t="str">
            <v>ZELLBJFK400046W</v>
          </cell>
          <cell r="E559" t="str">
            <v>Rawson</v>
          </cell>
          <cell r="F559" t="str">
            <v>https://maps.app.goo.gl/ddJRk57VP2eiLhAb7</v>
          </cell>
          <cell r="G559" t="str">
            <v>https://www.google.com/maps/dir/Catamarca+Sur+664,+San+Juan/Escuela+Berrutti,+Sta+Teresa+%26+Labrador,+San+Juan/Catamarca+Sur+664,+San+Juan/@-31.5799967,-68.5572738,9871m/data=!3m2!1e3!4b1!4m20!4m19!1m5!1m1!1s0x9681402690dd76eb:0x4b283f8fe10ce3f3!2m2!1d-68.5293623!2d-31.542635!1m5!1m1!1s0x968115985d72c5e1:0x107e69d09b58cfcb!2m2!1d-68.5024471!2d-31.6188282!1m5!1m1!1s0x9681402690dd76eb:0x4b283f8fe10ce3f3!2m2!1d-68.5293623!2d-31.542635!3e0?hl=es&amp;entry=ttu&amp;g_ep=EgoyMDI1MDgxOS4wIKXMDSoASAFQAw%3D%3D</v>
          </cell>
          <cell r="H559">
            <v>23.3</v>
          </cell>
        </row>
        <row r="560">
          <cell r="D560" t="str">
            <v>ZELLBJFJB0003NR</v>
          </cell>
          <cell r="E560" t="str">
            <v>Rawson</v>
          </cell>
          <cell r="F560" t="str">
            <v>https://maps.google.com/maps?q=-31.5571222%2C-68.5080346&amp;z=17&amp;hl=es</v>
          </cell>
          <cell r="G560" t="str">
            <v>https://www.google.com/maps/dir/Catamarca+Sur+664,+San+Juan/Escuela+E.+E.+Dr.+R.+Pe%C3%B1afort,+Francisco+Villagra+Este+780,+J5425+Villa+Krause,+San+Juan/Catamarca+Sur+664,+San+Juan/@-31.5505586,-68.5298397,2468m/data=!3m2!1e3!4b1!4m20!4m19!1m5!1m1!1s0x9681402690dd76eb:0x4b283f8fe10ce3f3!2m2!1d-68.5293623!2d-31.542635!1m5!1m1!1s0x96816ab0a6df6391:0xf722e0f50340d9b6!2m2!1d-68.5079325!2d-31.5571315!1m5!1m1!1s0x9681402690dd76eb:0x4b283f8fe10ce3f3!2m2!1d-68.5293623!2d-31.542635!3e0?hl=es&amp;entry=ttu&amp;g_ep=EgoyMDI1MDgxOS4wIKXMDSoASAFQAw%3D%3D</v>
          </cell>
          <cell r="H560">
            <v>7.8</v>
          </cell>
        </row>
        <row r="561">
          <cell r="D561" t="str">
            <v>076UBJFH10005YK</v>
          </cell>
          <cell r="E561" t="str">
            <v>Chimbas</v>
          </cell>
          <cell r="F561" t="str">
            <v>https://maps.google.com/maps?q=-31.5107243%2C-68.5385&amp;z=17&amp;hl=es</v>
          </cell>
          <cell r="G561" t="str">
            <v>https://www.google.com/maps/dir/Catamarca+Sur+664,+San+Juan/Escuela+Salvador+M.+Del+Carril,+Gral.+Urquiza+Norte+321,+J5400+Chimbas,+San+Juan/Catamarca+Sur+664,+San+Juan/@-31.527631,-68.5544137,4938m/data=!3m2!1e3!4b1!4m20!4m19!1m5!1m1!1s0x9681402690dd76eb:0x4b283f8fe10ce3f3!2m2!1d-68.5293623!2d-31.542635!1m5!1m1!1s0x968141c3220156bd:0x6ce909e814915e4b!2m2!1d-68.5382697!2d-31.510866!1m5!1m1!1s0x9681402690dd76eb:0x4b283f8fe10ce3f3!2m2!1d-68.5293623!2d-31.542635!3e0?hl=es&amp;entry=ttu&amp;g_ep=EgoyMDI1MDgxOS4wIKXMDSoASAFQAw%3D%3D</v>
          </cell>
          <cell r="H561">
            <v>8.6</v>
          </cell>
        </row>
        <row r="562">
          <cell r="D562" t="str">
            <v>076UBJFJA0003YM</v>
          </cell>
          <cell r="E562" t="str">
            <v>POCITO</v>
          </cell>
          <cell r="F562" t="str">
            <v>https://maps.google.com/maps?q=-31.598301%2C-68.5726164&amp;z=17&amp;hl=es</v>
          </cell>
          <cell r="G562" t="str">
            <v>https://www.google.com/maps/dir/Catamarca+Sur+664,+San+Juan/Gobernador+Eloy+Camus,+San+Juan/Catamarca+Sur+664,+San+Juan/@-31.5699983,-68.5915993,9872m/data=!3m2!1e3!4b1!4m20!4m19!1m5!1m1!1s0x9681402690dd76eb:0x4b283f8fe10ce3f3!2m2!1d-68.5293623!2d-31.542635!1m5!1m1!1s0x96813f5f4dfc9c65:0x806cf8db3d2ce262!2m2!1d-68.5715282!2d-31.5982696!1m5!1m1!1s0x9681402690dd76eb:0x4b283f8fe10ce3f3!2m2!1d-68.5293623!2d-31.542635!3e0?hl=es&amp;entry=ttu&amp;g_ep=EgoyMDI1MDgxOS4wIKXMDSoASAFQAw%3D%3D</v>
          </cell>
          <cell r="H562">
            <v>18.5</v>
          </cell>
        </row>
        <row r="563">
          <cell r="D563" t="str">
            <v>076UBJFH1000AAA</v>
          </cell>
          <cell r="E563" t="str">
            <v>SANTA LUCIA</v>
          </cell>
          <cell r="F563" t="str">
            <v>https://maps.google.com/maps?q=-31.5270046%2C-68.4465351&amp;z=17&amp;hl=es</v>
          </cell>
          <cell r="G563" t="str">
            <v>https://www.google.com/maps/dir/Catamarca+Sur+664,+San+Juan/Escuela+Miguel+De+Cervantes+Saavedra,+Santa+Luc%C3%ADa,+San+Juan/Catamarca+Sur+664,+San+Juan/@-31.5408689,-68.5301016,9875m/data=!3m2!1e3!4b1!4m20!4m19!1m5!1m1!1s0x9681402690dd76eb:0x4b283f8fe10ce3f3!2m2!1d-68.5293623!2d-31.542635!1m5!1m1!1s0x96816b6e866049ad:0x173eae69eb8a3b0a!2m2!1d-68.4466532!2d-31.5271223!1m5!1m1!1s0x9681402690dd76eb:0x4b283f8fe10ce3f3!2m2!1d-68.5293623!2d-31.542635!3e0?hl=es&amp;entry=ttu&amp;g_ep=EgoyMDI1MDgxOS4wIKXMDSoASAFQAw%3D%3D</v>
          </cell>
          <cell r="H563">
            <v>20.6</v>
          </cell>
        </row>
        <row r="564">
          <cell r="D564" t="str">
            <v>076UBJFH60000NN</v>
          </cell>
          <cell r="E564" t="str">
            <v>Chimbas</v>
          </cell>
          <cell r="F564" t="str">
            <v>https://maps.google.com/maps?q=-31.4911625%2C-68.4750756&amp;z=17&amp;hl=es</v>
          </cell>
          <cell r="G564" t="str">
            <v>https://www.google.com/maps/dir/Catamarca+Sur+664,+San+Juan/Escuela+Transito+De+Oro,+y,+Pelayes+%26+Oratorio/Catamarca+Sur+664,+San+Juan/@-31.5229478,-68.5430617,9877m/data=!3m2!1e3!4b1!4m20!4m19!1m5!1m1!1s0x9681402690dd76eb:0x4b283f8fe10ce3f3!2m2!1d-68.5293623!2d-31.542635!1m5!1m1!1s0x96816bcb09391f43:0xcb17dca1cca91c2!2m2!1d-68.4751781!2d-31.4911146!1m5!1m1!1s0x9681402690dd76eb:0x4b283f8fe10ce3f3!2m2!1d-68.5293623!2d-31.542635!3e0?hl=es&amp;entry=ttu&amp;g_ep=EgoyMDI1MDgxOS4wIKXMDSoASAFQAw%3D%3D</v>
          </cell>
          <cell r="H564">
            <v>23.4</v>
          </cell>
        </row>
        <row r="565">
          <cell r="D565" t="str">
            <v>076UBJFJA00075M</v>
          </cell>
          <cell r="E565" t="str">
            <v>POCITO</v>
          </cell>
          <cell r="F565" t="str">
            <v>https://maps.google.com/maps?q=-31.8214644%2C-68.5289676&amp;z=17&amp;hl=es</v>
          </cell>
          <cell r="G565" t="str">
            <v>https://www.google.com/maps/dir/Catamarca+Sur+664,+San+Juan/Escuela+Pedro+de+Valdivia,+Ruta+40+y+calle+Bas%C3%A1%C3%B1ez+Zavalla+s%2Fn,+Carpinter%C3%ADa/Catamarca+Sur+664,+San+Juan/@-31.6811671,-68.7020632,39439m/data=!3m2!1e3!4b1!4m20!4m19!1m5!1m1!1s0x9681402690dd76eb:0x4b283f8fe10ce3f3!2m2!1d-68.5293623!2d-31.542635!1m5!1m1!1s0x9681238a04a34c1d:0x9382b9cd51ec4845!2m2!1d-68.528792!2d-31.8216429!1m5!1m1!1s0x9681402690dd76eb:0x4b283f8fe10ce3f3!2m2!1d-68.5293623!2d-31.542635!3e0?hl=es&amp;entry=ttu&amp;g_ep=EgoyMDI1MDgxOS4wIKXMDSoASAFQAw%3D%3D</v>
          </cell>
          <cell r="H565">
            <v>68.5</v>
          </cell>
        </row>
        <row r="566">
          <cell r="D566" t="str">
            <v>076UBJFG80006PB</v>
          </cell>
          <cell r="E566" t="str">
            <v>Chimbas</v>
          </cell>
          <cell r="F566" t="str">
            <v>https://maps.google.com/maps?q=-31.494929%2C-68.5434864&amp;z=17&amp;hl=es</v>
          </cell>
          <cell r="G566" t="str">
            <v>https://www.google.com/maps/dir/Catamarca+Sur+664,+San+Juan/Escuela+de+Educaci%C3%B3n+Especial+Martina+Chapanay,+J5413+Chimbas,+San+Juan/Catamarca+Sur+664,+San+Juan/@-31.5187127,-68.5772571,9877m/data=!3m1!1e3!4m20!4m19!1m5!1m1!1s0x9681402690dd76eb:0x4b283f8fe10ce3f3!2m2!1d-68.5293623!2d-31.542635!1m5!1m1!1s0x968141f24911ff31:0x5d078ae8c38474dd!2m2!1d-68.543586!2d-31.4949675!1m5!1m1!1s0x9681402690dd76eb:0x4b283f8fe10ce3f3!2m2!1d-68.5293623!2d-31.542635!3e0?hl=es&amp;entry=ttu&amp;g_ep=EgoyMDI1MDgxOS4wIKXMDSoASAFQAw%3D%3D</v>
          </cell>
          <cell r="H566">
            <v>12.5</v>
          </cell>
        </row>
        <row r="567">
          <cell r="D567" t="str">
            <v>79G15L7</v>
          </cell>
          <cell r="E567" t="str">
            <v>Capital</v>
          </cell>
          <cell r="F567" t="str">
            <v>https://maps.google.com/maps?q=-31.5355946%2C-68.5526402&amp;z=17&amp;hl=es</v>
          </cell>
          <cell r="G567" t="str">
            <v>https://www.google.com/maps/dir/Catamarca+Sur+664,+San+Juan/ETOA+(Escuela+T%C3%A9cnica+Obrero+Argentino),+Av.+Paula+Albarrac%C3%ADn+de+Sarmiento+201-243,+J5402+San+Juan/Catamarca+Sur+664,+San+Juan/@-31.5402798,-68.5513415,2469m/data=!3m2!1e3!4b1!4m20!4m19!1m5!1m1!1s0x9681402690dd76eb:0x4b283f8fe10ce3f3!2m2!1d-68.5293623!2d-31.542635!1m5!1m1!1s0x968140497cf9b279:0x8c2bbd02279e0dcb!2m2!1d-68.5527108!2d-31.5355433!1m5!1m1!1s0x9681402690dd76eb:0x4b283f8fe10ce3f3!2m2!1d-68.5293623!2d-31.542635!3e0?hl=es&amp;entry=ttu&amp;g_ep=EgoyMDI1MDgxOS4wIKXMDSoASAFQAw%3D%3D</v>
          </cell>
          <cell r="H567">
            <v>6.3</v>
          </cell>
        </row>
        <row r="568">
          <cell r="D568" t="str">
            <v>79G496D</v>
          </cell>
          <cell r="E568" t="str">
            <v>CAPITAL</v>
          </cell>
          <cell r="F568" t="str">
            <v>https://maps.google.com/maps?q=-31.5185418%2C-68.5243585&amp;z=17&amp;hl=es</v>
          </cell>
          <cell r="G568" t="str">
            <v>https://www.google.com/maps/dir/Catamarca+Sur+664,+San+Juan/Escuela+Dr+Guillermo+Rawson,+San+Lorenzo+Este,+J5400+San+Juan/Catamarca+Sur+664,+San+Juan/@-31.5306428,-68.5482282,4938m/data=!3m2!1e3!4b1!4m20!4m19!1m5!1m1!1s0x9681402690dd76eb:0x4b283f8fe10ce3f3!2m2!1d-68.5293623!2d-31.542635!1m5!1m1!1s0x96816be080aeb59b:0xa4e687c72b4add02!2m2!1d-68.5244402!2d-31.5184813!1m5!1m1!1s0x9681402690dd76eb:0x4b283f8fe10ce3f3!2m2!1d-68.5293623!2d-31.542635!3e0?hl=es&amp;entry=ttu&amp;g_ep=EgoyMDI1MDgxOS4wIKXMDSoASAFQAw%3D%3D</v>
          </cell>
          <cell r="H568">
            <v>7</v>
          </cell>
        </row>
        <row r="569">
          <cell r="D569" t="str">
            <v>793H5P5</v>
          </cell>
          <cell r="E569" t="str">
            <v>CHIMBAS</v>
          </cell>
          <cell r="F569" t="str">
            <v>https://maps.app.goo.gl/NeL58Dv7qJohtwUV7</v>
          </cell>
          <cell r="G569" t="str">
            <v>https://www.google.com/maps/dir/Catamarca+Sur+664,+San+Juan/Escuela+dr.+Honorio+Pueyrred%C3%B3n,+J5413+Chimbas,+San+Juan/Catamarca+Sur+664,+San+Juan/@-31.5308941,-68.5879612,9876m/data=!3m2!1e3!4b1!4m20!4m19!1m5!1m1!1s0x9681402690dd76eb:0x4b283f8fe10ce3f3!2m2!1d-68.5293623!2d-31.542635!1m5!1m1!1s0x968141997d8e77a3:0x1c4c543e542333ac!2m2!1d-68.5631397!2d-31.5066171!1m5!1m1!1s0x9681402690dd76eb:0x4b283f8fe10ce3f3!2m2!1d-68.5293623!2d-31.542635!3e0?entry=ttu&amp;g_ep=EgoyMDI1MDgxOS4wIKXMDSoASAFQAw%3D%3D</v>
          </cell>
          <cell r="H569">
            <v>16.100000000000001</v>
          </cell>
        </row>
        <row r="570">
          <cell r="D570" t="str">
            <v>793H5FV</v>
          </cell>
          <cell r="E570" t="str">
            <v>RAWSON</v>
          </cell>
          <cell r="F570" t="str">
            <v>https://maps.google.com/maps?q=-31.5620701%2C-68.5622444&amp;z=17&amp;hl=es</v>
          </cell>
          <cell r="G570" t="str">
            <v>https://www.google.com/maps/dir/Catamarca+Sur+664,+San+Juan/Escuela+San+Juan+Eudes,+Bah%C3%ADa+Blanca+Sur,+J5425+Villa+Krause,+San+Juan/Catamarca+Sur+664,+San+Juan/@-31.5558264,-68.5657451,4937m/data=!3m1!1e3!4m20!4m19!1m5!1m1!1s0x9681402690dd76eb:0x4b283f8fe10ce3f3!2m2!1d-68.5293623!2d-31.542635!1m5!1m1!1s0x9681412b2e33eae9:0xe137e7c260821fa4!2m2!1d-68.5622502!2d-31.5631841!1m5!1m1!1s0x9681402690dd76eb:0x4b283f8fe10ce3f3!2m2!1d-68.5293623!2d-31.542635!3e0?hl=es&amp;entry=ttu&amp;g_ep=EgoyMDI1MDgxOS4wIKXMDSoASAFQAw%3D%3D</v>
          </cell>
          <cell r="H570">
            <v>11.4</v>
          </cell>
        </row>
        <row r="571">
          <cell r="D571" t="str">
            <v>79G3LG9</v>
          </cell>
          <cell r="E571" t="str">
            <v>POCITO</v>
          </cell>
          <cell r="F571" t="str">
            <v>https://maps.google.com/maps?q=-31.752355%2C-68.5541717&amp;z=17&amp;hl=es</v>
          </cell>
          <cell r="G571" t="str">
            <v>https://www.google.com/maps/dir/Catamarca+Sur+664,+San+Juan/Escuela+Albert+Schweitzer,+Au+San+Juan+-+Mendoza,+San+Juan/Catamarca+Sur+664,+San+Juan/@-31.6466726,-68.7020632,39454m/data=!3m2!1e3!4b1!4m20!4m19!1m5!1m1!1s0x9681402690dd76eb:0x4b283f8fe10ce3f3!2m2!1d-68.5293623!2d-31.542635!1m5!1m1!1s0x968122cb82008533:0x87d158df548a772c!2m2!1d-68.5541256!2d-31.7523258!1m5!1m1!1s0x9681402690dd76eb:0x4b283f8fe10ce3f3!2m2!1d-68.5293623!2d-31.542635!3e0?hl=es&amp;entry=ttu&amp;g_ep=EgoyMDI1MDgxOS4wIKXMDSoASAFQAw%3D%3D</v>
          </cell>
          <cell r="H571">
            <v>50.8</v>
          </cell>
        </row>
        <row r="572">
          <cell r="D572" t="str">
            <v>793FWRL</v>
          </cell>
          <cell r="E572" t="str">
            <v>Capital</v>
          </cell>
          <cell r="F572" t="str">
            <v>https://maps.google.com/maps?q=-31.5165918%2C-68.5226829&amp;z=17&amp;hl=es</v>
          </cell>
          <cell r="G572" t="str">
            <v>https://www.google.com/maps/dir/Catamarca+Sur+664,+San+Juan/Escuela+Fortabat,+Av.+Rioja+Sur,+J5400+San+Juan/Catamarca+Sur+664,+San+Juan/@-31.5297158,-68.5476339,4938m/data=!3m2!1e3!4b1!4m20!4m19!1m5!1m1!1s0x9681402690dd76eb:0x4b283f8fe10ce3f3!2m2!1d-68.5293623!2d-31.542635!1m5!1m1!1s0x96816bf226704fcd:0xafd88b88a921e91c!2m2!1d-68.5231261!2d-31.5167682!1m5!1m1!1s0x9681402690dd76eb:0x4b283f8fe10ce3f3!2m2!1d-68.5293623!2d-31.542635!3e0?hl=es&amp;entry=ttu&amp;g_ep=EgoyMDI1MDgxOS4wIKXMDSoASAFQAw%3D%3D</v>
          </cell>
          <cell r="H572">
            <v>8.3000000000000007</v>
          </cell>
        </row>
        <row r="573">
          <cell r="D573" t="str">
            <v>793F49Y</v>
          </cell>
          <cell r="E573" t="str">
            <v>Chimbas</v>
          </cell>
          <cell r="F573" t="str">
            <v>https://maps.app.goo.gl/eAoxopjr6H1xxSv48</v>
          </cell>
          <cell r="G573" t="str">
            <v>https://www.google.com/maps/dir/Catamarca+Sur+664,+San+Juan/Escuela+Juana+Godoy+de+Brandes,+J5413+Chimbas,+San+Juan/Catamarca+Sur+664,+San+Juan/@-31.5325519,-68.606008,9876m/data=!3m1!1e3!4m20!4m19!1m5!1m1!1s0x9681402690dd76eb:0x4b283f8fe10ce3f3!2m2!1d-68.5293623!2d-31.542635!1m5!1m1!1s0x968141585d31a459:0x4c555fd077e4cf99!2m2!1d-68.6046596!2d-31.5104137!1m5!1m1!1s0x9681402690dd76eb:0x4b283f8fe10ce3f3!2m2!1d-68.5293623!2d-31.542635!3e0?entry=ttu&amp;g_ep=EgoyMDI1MDgxOS4wIKXMDSoASAFQAw%3D%3D</v>
          </cell>
          <cell r="H573">
            <v>21.9</v>
          </cell>
        </row>
        <row r="574">
          <cell r="D574" t="str">
            <v>ZELLBJEJ40002NY</v>
          </cell>
          <cell r="E574" t="str">
            <v>JACHAL</v>
          </cell>
          <cell r="F574" t="str">
            <v>https://maps.app.goo.gl/h4q3aSRkZXLGdsbz5</v>
          </cell>
          <cell r="G574" t="str">
            <v>https://www.google.com/maps/dir/Catamarca+Sur+664,+San+Juan/Escuela+Monse%C3%B1or+Tom%C3%A1s+Segundo+Cruz,+El+Volcan,+San+Juan/Catamarca+Sur+664,+San+Juan/@-30.9205257,-69.2721559,159035m/data=!3m1!1e3!4m20!4m19!1m5!1m1!1s0x9681402690dd76eb:0x4b283f8fe10ce3f3!2m2!1d-68.5293623!2d-31.542635!1m5!1m1!1s0x96836f2f5d34d985:0xa35ed32f480cca5d!2m2!1d-68.6967581!2d-30.3257843!1m5!1m1!1s0x9681402690dd76eb:0x4b283f8fe10ce3f3!2m2!1d-68.5293623!2d-31.542635!3e0?entry=ttu&amp;g_ep=EgoyMDI1MDgxOS4wIKXMDSoASAFQAw%3D%3D</v>
          </cell>
          <cell r="H574">
            <v>308</v>
          </cell>
        </row>
        <row r="575">
          <cell r="D575" t="str">
            <v>79G3Z5F</v>
          </cell>
          <cell r="E575" t="str">
            <v>POCITO</v>
          </cell>
          <cell r="F575" t="str">
            <v>https://maps.google.com/maps?q=-31.7754933%2C-68.5160383&amp;z=17&amp;hl=es</v>
          </cell>
          <cell r="G575" t="str">
            <v>https://www.google.com/maps/dir/Catamarca+Sur+664,+San+Juan/Escuela+Virginia+Moreno+De+Parkes,+Pocito,+San+Juan/Catamarca+Sur+664,+San+Juan/@-31.6580825,-68.7020632,39449m/data=!3m2!1e3!4b1!4m20!4m19!1m5!1m1!1s0x9681402690dd76eb:0x4b283f8fe10ce3f3!2m2!1d-68.5293623!2d-31.542635!1m5!1m1!1s0x9681187a7f910085:0xf3c96bdd5aa14f7f!2m2!1d-68.5159195!2d-31.7756375!1m5!1m1!1s0x9681402690dd76eb:0x4b283f8fe10ce3f3!2m2!1d-68.5293623!2d-31.542635!3e0?hl=es&amp;entry=ttu&amp;g_ep=EgoyMDI1MDgxOS4wIKXMDSoASAFQAw%3D%3D</v>
          </cell>
          <cell r="H575">
            <v>61</v>
          </cell>
        </row>
        <row r="576">
          <cell r="D576" t="str">
            <v>07QWB9UG3A001PN</v>
          </cell>
          <cell r="E576" t="str">
            <v>JACHAL (Mogna)</v>
          </cell>
          <cell r="F576" t="str">
            <v>https://maps.app.goo.gl/Z2u445tYkW14nGqAA</v>
          </cell>
          <cell r="G576" t="str">
            <v>https://www.google.com/maps/dir/Catamarca+Sur+664,+San+Juan/Escuela+Capit%C3%A1n+de+Fragata+Hip%C3%B3lito+Buchardo,+Mogna,+San+Juan/Catamarca+Sur+664,+San+Juan/@-31.0854744,-69.1684754,158761m/data=!3m1!1e3!4m20!4m19!1m5!1m1!1s0x9681402690dd76eb:0x4b283f8fe10ce3f3!2m2!1d-68.5293623!2d-31.542635!1m5!1m1!1s0x9683baebaf427ec9:0xe9b654ed26a4ac6a!2m2!1d-68.3612218!2d-30.6942408!1m5!1m1!1s0x9681402690dd76eb:0x4b283f8fe10ce3f3!2m2!1d-68.5293623!2d-31.542635!3e0?entry=ttu&amp;g_ep=EgoyMDI1MDgxOS4wIKXMDSoASAFQAw%3D%3D</v>
          </cell>
          <cell r="H576">
            <v>290</v>
          </cell>
        </row>
        <row r="577">
          <cell r="D577" t="str">
            <v>7945BH3</v>
          </cell>
          <cell r="E577">
            <v>45802</v>
          </cell>
          <cell r="F577" t="str">
            <v>https://maps.google.com/maps?q=-31.7469538%2C-68.3144393&amp;z=17&amp;hl=es</v>
          </cell>
          <cell r="G577" t="str">
            <v>https://www.google.com/maps/dir/Catamarca+Sur+664,+San+Juan/Escuela+Provincia+de+San+Juan,+25+de+Mayo+y+Mitre+S%2FN,+Villa+Santa+Rosa,+Dpto,+San+Juan/Catamarca+Sur+664,+San+Juan/@-31.6438039,-68.584671,39455m/data=!3m2!1e3!4b1!4m20!4m19!1m5!1m1!1s0x9681402690dd76eb:0x4b283f8fe10ce3f3!2m2!1d-68.5293623!2d-31.542635!1m5!1m1!1s0x96810596e695f093:0x4bee11bf244e827f!2m2!1d-68.3143901!2d-31.7470534!1m5!1m1!1s0x9681402690dd76eb:0x4b283f8fe10ce3f3!2m2!1d-68.5293623!2d-31.542635!3e0?hl=es&amp;entry=ttu&amp;g_ep=EgoyMDI1MDgxOS4wIKXMDSoASAFQAw%3D%3D</v>
          </cell>
          <cell r="H577">
            <v>73.5</v>
          </cell>
        </row>
        <row r="578">
          <cell r="D578" t="str">
            <v>076UBJFJA0007ZK</v>
          </cell>
          <cell r="E578" t="str">
            <v>RAWSON</v>
          </cell>
          <cell r="F578" t="str">
            <v>https://maps.google.com/maps?q=-31.5712226%2C-68.5314549&amp;z=17&amp;hl=es</v>
          </cell>
          <cell r="G578" t="str">
            <v>https://www.google.com/maps/dir/Catamarca+Sur+664,+San+Juan/Escuela+de+Educaci%C3%B3n+Especial+Biling%C3%BCe+para+sordos,+Mendoza+Sur+855,+J5425+J5402GUQ,+San+Juan/Catamarca+Sur+664,+San+Juan/@-31.5573234,-68.5498186,4936m/data=!3m2!1e3!4b1!4m20!4m19!1m5!1m1!1s0x9681402690dd76eb:0x4b283f8fe10ce3f3!2m2!1d-68.5293623!2d-31.542635!1m5!1m1!1s0x9681416c78ca627b:0x453f31a59c6234b5!2m2!1d-68.5318271!2d-31.5713148!1m5!1m1!1s0x9681402690dd76eb:0x4b283f8fe10ce3f3!2m2!1d-68.5293623!2d-31.542635!3e0?hl=es&amp;entry=ttu&amp;g_ep=EgoyMDI1MDgxOS4wIKXMDSoASAFQAw%3D%3D</v>
          </cell>
          <cell r="H578">
            <v>8.6</v>
          </cell>
        </row>
        <row r="579">
          <cell r="D579" t="str">
            <v>79G2RRG</v>
          </cell>
          <cell r="E579">
            <v>45847</v>
          </cell>
          <cell r="F579" t="str">
            <v>https://maps.google.com/maps?q=-31.6688061%2C-68.3915318&amp;z=17&amp;hl=es</v>
          </cell>
          <cell r="G579" t="str">
            <v>https://www.google.com/maps/dir/Catamarca+Sur+664,+San+Juan/Escuela+Granaderos+De+San+Mart%C3%ADn,+RP155,+Nueve+de+Julio,+San+Juan/Catamarca+Sur+664,+San+Juan/@-31.6052084,-68.5429086,19736m/data=!3m2!1e3!4b1!4m20!4m19!1m5!1m1!1s0x9681402690dd76eb:0x4b283f8fe10ce3f3!2m2!1d-68.5293623!2d-31.542635!1m5!1m1!1s0x968111050dfd5ff7:0xc6d296a1b2624bc6!2m2!1d-68.3909199!2d-31.6688463!1m5!1m1!1s0x9681402690dd76eb:0x4b283f8fe10ce3f3!2m2!1d-68.5293623!2d-31.542635!3e0?hl=es&amp;entry=ttu&amp;g_ep=EgoyMDI1MDgxOS4wIKXMDSoASAFQAw%3D%3D</v>
          </cell>
          <cell r="H579">
            <v>46.1</v>
          </cell>
        </row>
        <row r="580">
          <cell r="D580" t="str">
            <v>7949FMR</v>
          </cell>
          <cell r="E580" t="str">
            <v>Capital</v>
          </cell>
          <cell r="F580" t="str">
            <v>https://maps.google.com/maps?q=-31.5320165%2C-68.517394&amp;z=17&amp;hl=es</v>
          </cell>
          <cell r="G580" t="str">
            <v>https://www.google.com/maps/dir/Catamarca+Sur+664,+San+Juan/Escuela+Laprida,+J5400AMN,+San+Luis+602-700,+J5400AMN+San+Juan/Catamarca+Sur+664,+San+Juan/@-31.537113,-68.5333169,2469m/data=!3m2!1e3!4b1!4m20!4m19!1m5!1m1!1s0x9681402690dd76eb:0x4b283f8fe10ce3f3!2m2!1d-68.5293623!2d-31.542635!1m5!1m1!1s0x96816a843ee65a33:0xbb8db7323deb695c!2m2!1d-68.5170151!2d-31.5321299!1m5!1m1!1s0x9681402690dd76eb:0x4b283f8fe10ce3f3!2m2!1d-68.5293623!2d-31.542635!3e0?hl=es&amp;entry=ttu&amp;g_ep=EgoyMDI1MDgxOS4wIKXMDSoASAFQAw%3D%3D</v>
          </cell>
          <cell r="H580">
            <v>5.0999999999999996</v>
          </cell>
        </row>
        <row r="581">
          <cell r="D581" t="str">
            <v>79G2RXX</v>
          </cell>
          <cell r="E581" t="str">
            <v>CAPITAL</v>
          </cell>
          <cell r="F581" t="str">
            <v>https://maps.google.com/maps?q=-31.5320886%2C-68.5173604&amp;z=17&amp;hl=es</v>
          </cell>
          <cell r="G581" t="str">
            <v>https://www.google.com/maps/dir/Catamarca+Sur+664,+San+Juan/Escuela+Laprida,+J5400AMN,+San+Luis+602-700,+J5400AMN+San+Juan/Catamarca+Sur+664,+San+Juan/@-31.537113,-68.5333169,2469m/data=!3m2!1e3!4b1!4m20!4m19!1m5!1m1!1s0x9681402690dd76eb:0x4b283f8fe10ce3f3!2m2!1d-68.5293623!2d-31.542635!1m5!1m1!1s0x96816a843ee65a33:0xbb8db7323deb695c!2m2!1d-68.5170151!2d-31.5321299!1m5!1m1!1s0x9681402690dd76eb:0x4b283f8fe10ce3f3!2m2!1d-68.5293623!2d-31.542635!3e0?hl=es&amp;entry=ttu&amp;g_ep=EgoyMDI1MDgxOS4wIKXMDSoASAFQAw%3D%3D</v>
          </cell>
          <cell r="H581">
            <v>5.0999999999999996</v>
          </cell>
        </row>
        <row r="582">
          <cell r="D582" t="str">
            <v>07QWB9UG6A0016Z</v>
          </cell>
          <cell r="E582" t="str">
            <v>VALLE FÉRTIL</v>
          </cell>
          <cell r="F582" t="str">
            <v>https://maps.google.com/maps?q=-30.6408046%2C-67.4573705&amp;z=17&amp;hl=es</v>
          </cell>
          <cell r="G582" t="str">
            <v>https://www.google.com/maps/dir/Catamarca+Sur+664,+San+Juan/ENI+N%C2%B018,+Villa+San+Agust%C3%ADn,+San+Juan/Catamarca+Sur+664,+San+Juan/@-31.1959865,-68.5303571,158576m/data=!3m2!1e3!4b1!4m20!4m19!1m5!1m1!1s0x9681402690dd76eb:0x4b283f8fe10ce3f3!2m2!1d-68.5293623!2d-31.542635!1m5!1m1!1s0x9682754fa070c82d:0xadcfb44eb866ef05!2m2!1d-67.4574334!2d-30.6408283!1m5!1m1!1s0x9681402690dd76eb:0x4b283f8fe10ce3f3!2m2!1d-68.5293623!2d-31.542635!3e0?hl=es&amp;entry=ttu&amp;g_ep=EgoyMDI1MDgxOS4wIKXMDSoASAFQAw%3D%3D</v>
          </cell>
          <cell r="H582">
            <v>500</v>
          </cell>
        </row>
        <row r="583">
          <cell r="D583" t="str">
            <v>ZELLBJFK40001RH</v>
          </cell>
          <cell r="E583" t="str">
            <v>Valle Fertil</v>
          </cell>
          <cell r="F583" t="str">
            <v>https://maps.google.com/maps?q=-30.6132777%2C-67.4150243&amp;z=17&amp;hl=es</v>
          </cell>
          <cell r="G583" t="str">
            <v>https://www.google.com/maps/dir/Catamarca+Sur+664,+San+Juan/Escuela+Sargento+Cabral,+Colonia+Los+Valecianos,+La+Rioja/Catamarca+Sur+664,+San+Juan/@-31.0091533,-69.057219,270363m/data=!3m1!1e3!4m20!4m19!1m5!1m1!1s0x9681402690dd76eb:0x4b283f8fe10ce3f3!2m2!1d-68.5293623!2d-31.542635!1m5!1m1!1s0x968275873ad6d8d5:0xddab3ea1e6c65760!2m2!1d-67.415251!2d-30.6132539!1m5!1m1!1s0x9681402690dd76eb:0x4b283f8fe10ce3f3!2m2!1d-68.5293623!2d-31.542635!3e0?hl=es&amp;entry=ttu&amp;g_ep=EgoyMDI1MDgxOS4wIKXMDSoASAFQAw%3D%3D</v>
          </cell>
          <cell r="H583">
            <v>514</v>
          </cell>
        </row>
        <row r="584">
          <cell r="D584" t="str">
            <v>07QWB9UG3A0032F</v>
          </cell>
          <cell r="E584" t="str">
            <v>VALLE FERTIL</v>
          </cell>
          <cell r="F584" t="str">
            <v>https://maps.google.com/maps?q=-30.5694443%2C-67.5507963&amp;z=17&amp;hl=es</v>
          </cell>
          <cell r="G584" t="str">
            <v>https://www.google.com/maps/dir/Catamarca+Sur+664,+San+Juan/Escuela+Presbitero+Cayetano+de+Quiroga,+Usno,+San+Juan/Catamarca+Sur+664,+San+Juan/@-31.1599072,-68.5303572,158636m/data=!3m2!1e3!4b1!4m20!4m19!1m5!1m1!1s0x9681402690dd76eb:0x4b283f8fe10ce3f3!2m2!1d-68.5293623!2d-31.542635!1m5!1m1!1s0x9682714cd6e897c3:0x38826668c759485b!2m2!1d-67.5415433!2d-30.5668235!1m5!1m1!1s0x9681402690dd76eb:0x4b283f8fe10ce3f3!2m2!1d-68.5293623!2d-31.542635!3e0?hl=es&amp;entry=ttu&amp;g_ep=EgoyMDI1MDgxOS4wIKXMDSoASAFQAw%3D%3D</v>
          </cell>
          <cell r="H584">
            <v>521</v>
          </cell>
        </row>
        <row r="585">
          <cell r="D585" t="str">
            <v>ZELLBJFJA00030Y</v>
          </cell>
          <cell r="E585" t="str">
            <v>Valle Fertil</v>
          </cell>
          <cell r="F585" t="str">
            <v>https://maps.google.com/maps?q=-30.6421528%2C-67.408622&amp;z=17&amp;hl=es</v>
          </cell>
          <cell r="G585" t="str">
            <v>https://www.google.com/maps/dir/Catamarca+Sur+664,+San+Juan/Escuela+Republica+de+Brasil,+RP511,+Baldes+De+La+Chilca,+San+Juan/Catamarca+Sur+664,+San+Juan/@-31.0124946,-69.057219,270354m/data=!3m1!1e3!4m20!4m19!1m5!1m1!1s0x9681402690dd76eb:0x4b283f8fe10ce3f3!2m2!1d-68.5293623!2d-31.542635!1m5!1m1!1s0x9682750a91cf1833:0x951e8dcdc0f45b5f!2m2!1d-67.4085834!2d-30.6419052!1m5!1m1!1s0x9681402690dd76eb:0x4b283f8fe10ce3f3!2m2!1d-68.5293623!2d-31.542635!3e0?hl=es&amp;entry=ttu&amp;g_ep=EgoyMDI1MDgxOS4wIKXMDSoASAFQAw%3D%3D</v>
          </cell>
          <cell r="H585">
            <v>510</v>
          </cell>
        </row>
        <row r="586">
          <cell r="D586" t="str">
            <v>ZELLBJFJB00058A</v>
          </cell>
          <cell r="E586" t="str">
            <v>VALLE FERTIL</v>
          </cell>
          <cell r="F586" t="str">
            <v>https://maps.google.com/maps?q=-30.6358529%2C-67.4665916&amp;z=17&amp;hl=es</v>
          </cell>
          <cell r="G586" t="str">
            <v>https://www.google.com/maps/dir/Catamarca+Sur+664,+San+Juan/ESCUELA+TECNICA+DE+CAPACITACION+LABORAL+CAP.+PEDRO+PABLO+DE+QUIROGA,+J5449+Villa+San+Agust%C3%ADn,+San+Juan/Catamarca+Sur+664,+San+Juan/@-31.194994,-68.5298448,158577m/data=!3m1!1e3!4m20!4m19!1m5!1m1!1s0x9681402690dd76eb:0x4b283f8fe10ce3f3!2m2!1d-68.5293623!2d-31.542635!1m5!1m1!1s0x9682758c04162d09:0x1e123b57b37ed5a3!2m2!1d-67.4664756!2d-30.6359285!1m5!1m1!1s0x9681402690dd76eb:0x4b283f8fe10ce3f3!2m2!1d-68.5293623!2d-31.542635!3e0?hl=es&amp;entry=ttu&amp;g_ep=EgoyMDI1MDgxOS4wIKXMDSoASAFQAw%3D%3D</v>
          </cell>
          <cell r="H586">
            <v>499</v>
          </cell>
        </row>
        <row r="587">
          <cell r="D587" t="str">
            <v>ZELLBJFJB00051H</v>
          </cell>
          <cell r="E587" t="str">
            <v>Valle Fértil</v>
          </cell>
          <cell r="F587" t="str">
            <v>https://maps.google.com/maps?q=-30.6402073%2C-67.457302&amp;z=17&amp;hl=es</v>
          </cell>
          <cell r="G587" t="str">
            <v>https://www.google.com/maps/dir/Catamarca+Sur+664,+San+Juan/-30.6402073,-67.457302/Catamarca+Sur+664,+San+Juan/@-31.1959865,-68.5303571,158576m/data=!3m2!1e3!4b1!4m15!4m14!1m5!1m1!1s0x9681402690dd76eb:0x4b283f8fe10ce3f3!2m2!1d-68.5293623!2d-31.542635!1m0!1m5!1m1!1s0x9681402690dd76eb:0x4b283f8fe10ce3f3!2m2!1d-68.5293623!2d-31.542635!3e0?hl=es&amp;entry=ttu&amp;g_ep=EgoyMDI1MDgxOS4wIKXMDSoASAFQAw%3D%3D</v>
          </cell>
          <cell r="H587">
            <v>500</v>
          </cell>
        </row>
        <row r="588">
          <cell r="D588" t="str">
            <v>07QWB9UFAA0013F</v>
          </cell>
          <cell r="E588" t="str">
            <v>JACHAL</v>
          </cell>
          <cell r="F588" t="str">
            <v>https://maps.app.goo.gl/reW8qrNCAEwtj1nD7</v>
          </cell>
          <cell r="G588" t="str">
            <v>https://www.google.com/maps/dir/Catamarca+Sur+664,+San+Juan/Escuela+Dean+Gregorio+Funes,+Boca+de+la+Quebrada,+San+Juan/Catamarca+Sur+664,+San+Juan/@-30.8345935,-69.9460022,318356m/data=!3m1!1e3!4m20!4m19!1m5!1m1!1s0x9681402690dd76eb:0x4b283f8fe10ce3f3!2m2!1d-68.5293623!2d-31.542635!1m5!1m1!1s0x968343d64b1c298b:0xf99366e09c503559!2m2!1d-68.6612917!2d-30.1497832!1m5!1m1!1s0x9681402690dd76eb:0x4b283f8fe10ce3f3!2m2!1d-68.5293623!2d-31.542635!3e0?entry=ttu&amp;g_ep=EgoyMDI1MDgxOS4wIKXMDSoASAFQAw%3D%3D</v>
          </cell>
          <cell r="H588">
            <v>353</v>
          </cell>
        </row>
        <row r="589">
          <cell r="D589" t="str">
            <v>07QWB9UG3A001RL</v>
          </cell>
          <cell r="E589" t="str">
            <v>JACHAL</v>
          </cell>
          <cell r="F589" t="str">
            <v>https://maps.app.goo.gl/WHpECFkeRgQdgWBk7</v>
          </cell>
          <cell r="G589" t="str">
            <v>https://www.google.com/maps/dir/Catamarca+Sur+664,+San+Juan/Escuela+Albergue+Joaquin+V.+Gonzalez,+Pampa+del+Cha%C3%B1ar,+San+Juan/Catamarca+Sur+664,+San+Juan/@-30.8756095,-69.9413951,318220m/data=!3m2!1e3!4b1!4m20!4m19!1m5!1m1!1s0x9681402690dd76eb:0x4b283f8fe10ce3f3!2m2!1d-68.5293623!2d-31.542635!1m5!1m1!1s0x968369a527d3f6a9:0xc90e5a052f3d1a04!2m2!1d-68.6878882!2d-30.2143221!1m5!1m1!1s0x9681402690dd76eb:0x4b283f8fe10ce3f3!2m2!1d-68.5293623!2d-31.542635!3e0?entry=ttu&amp;g_ep=EgoyMDI1MDgxOS4wIKXMDSoASAFQAw%3D%3D</v>
          </cell>
          <cell r="H589">
            <v>335</v>
          </cell>
        </row>
        <row r="590">
          <cell r="D590" t="str">
            <v>076UBJFJA0006NF</v>
          </cell>
          <cell r="E590" t="str">
            <v>Chimbas</v>
          </cell>
          <cell r="F590" t="str">
            <v>https://maps.app.goo.gl/MF8i2RrZyJryDErE6</v>
          </cell>
          <cell r="G590" t="str">
            <v>https://www.google.com/maps/dir/Catamarca+Sur+664,+San+Juan/Escuela+de+Cadetes+Dr.+Antonino+Aberastain,+J5413+Rivadavia,+San+Juan/Catamarca+Sur+664,+San+Juan/@-31.532862,-68.6159844,9876m/data=!3m2!1e3!4b1!4m20!4m19!1m5!1m1!1s0x9681402690dd76eb:0x4b283f8fe10ce3f3!2m2!1d-68.5293623!2d-31.542635!1m5!1m1!1s0x96814152aa4bfac3:0x122c08a74f1666d!2m2!1d-68.6198587!2d-31.5109035!1m5!1m1!1s0x9681402690dd76eb:0x4b283f8fe10ce3f3!2m2!1d-68.5293623!2d-31.542635!3e0?hl=es&amp;entry=ttu&amp;g_ep=EgoyMDI1MDkwMy4wIKXMDSoASAFQAw%3D%3D</v>
          </cell>
          <cell r="H590">
            <v>24.8</v>
          </cell>
        </row>
        <row r="591">
          <cell r="D591" t="str">
            <v>79G3HW1</v>
          </cell>
          <cell r="E591" t="str">
            <v>Sarmiento</v>
          </cell>
          <cell r="F591" t="str">
            <v>https://maps.google.com/maps?q=-31.9972073%2C-68.7654631&amp;z=17&amp;hl=es</v>
          </cell>
          <cell r="G591" t="str">
            <v>https://www.google.com/maps/dir/Catamarca+Sur+664,+San+Juan/ESCUELA+ALBERGUE+JOSEFA+RAM%C3%8DREZ+DE+GARCIA,+Pedernal,+San+Juan/Catamarca+Sur+664,+San+Juan/@-31.7680515,-68.8818893,78805m/data=!3m1!1e3!4m20!4m19!1m5!1m1!1s0x9681402690dd76eb:0x4b283f8fe10ce3f3!2m2!1d-68.5293623!2d-31.542635!1m5!1m1!1s0x9680d6536b72f469:0x8b9bcd0d8c80b725!2m2!1d-68.765062!2d-31.9967952!1m5!1m1!1s0x9681402690dd76eb:0x4b283f8fe10ce3f3!2m2!1d-68.5293623!2d-31.542635!3e0?hl=es&amp;entry=ttu&amp;g_ep=EgoyMDI1MDgxOS4wIKXMDSoASAFQAw%3D%3D</v>
          </cell>
          <cell r="H591">
            <v>178</v>
          </cell>
        </row>
        <row r="592">
          <cell r="D592" t="str">
            <v>79G63PK</v>
          </cell>
          <cell r="E592" t="str">
            <v>SARMIENTO</v>
          </cell>
          <cell r="F592" t="str">
            <v>https://maps.google.com/maps?q=-31.9826144%2C-68.4277285&amp;z=17&amp;hl=es</v>
          </cell>
          <cell r="G592" t="str">
            <v>https://www.google.com/maps/dir/Catamarca+Sur+664,+San+Juan/Escuela+Victorina+Lenoir+de+Navarro,+9+de+Julio+s%2Fn/Catamarca+Sur+664,+San+Juan/@-31.7611468,-68.8237757,78810m/data=!3m2!1e3!4b1!4m20!4m19!1m5!1m1!1s0x9681402690dd76eb:0x4b283f8fe10ce3f3!2m2!1d-68.5293623!2d-31.542635!1m5!1m1!1s0x9680e3fe0c8fadc7:0xa7e809e6d97a9f29!2m2!1d-68.427624!2d-31.9823428!1m5!1m1!1s0x9681402690dd76eb:0x4b283f8fe10ce3f3!2m2!1d-68.5293623!2d-31.542635!3e0?hl=es&amp;entry=ttu&amp;g_ep=EgoyMDI1MDgxOS4wIKXMDSoASAFQAw%3D%3D</v>
          </cell>
          <cell r="H592">
            <v>111</v>
          </cell>
        </row>
        <row r="593">
          <cell r="D593" t="str">
            <v>79G12YV</v>
          </cell>
          <cell r="E593" t="str">
            <v>Sarmiento</v>
          </cell>
          <cell r="F593" t="str">
            <v>https://maps.google.com/maps?q=-31.9862867%2C-68.4224419&amp;z=17&amp;hl=es</v>
          </cell>
          <cell r="G593" t="str">
            <v>https://www.google.com/maps/dir/Catamarca+Sur+664,+San+Juan/Escuela+de+Educacion+Especial+M%C3%BAltiple+Sarmiento,+J5435+Media+Agua,+San+Juan/Catamarca+Sur+664,+San+Juan/@-31.762774,-68.8211946,78809m/data=!3m2!1e3!4b1!4m20!4m19!1m5!1m1!1s0x9681402690dd76eb:0x4b283f8fe10ce3f3!2m2!1d-68.5293623!2d-31.542635!1m5!1m1!1s0x9680e3f8a43981d1:0xca6cf7f10bacbfcd!2m2!1d-68.4225216!2d-31.9862351!1m5!1m1!1s0x9681402690dd76eb:0x4b283f8fe10ce3f3!2m2!1d-68.5293623!2d-31.542635!3e0?hl=es&amp;entry=ttu&amp;g_ep=EgoyMDI1MDgxOS4wIKXMDSoASAFQAw%3D%3D</v>
          </cell>
          <cell r="H593">
            <v>112</v>
          </cell>
        </row>
        <row r="594">
          <cell r="D594" t="str">
            <v>793ZYYG</v>
          </cell>
          <cell r="E594" t="str">
            <v>Sarmiento</v>
          </cell>
          <cell r="F594" t="str">
            <v>https://maps.google.com/maps?q=-32.0011165%2C-68.6964012&amp;z=17&amp;hl=es</v>
          </cell>
          <cell r="G594" t="str">
            <v>https://www.google.com/maps/dir/Catamarca+Sur+664,+San+Juan/Escuela+Experimental+de+Nivel+Medio+Divisadero,+RP351,+Divisadero,+San+Juan/Catamarca+Sur+664,+San+Juan/@-31.7703066,-68.8977447,78803m/data=!3m2!1e3!4b1!4m20!4m19!1m5!1m1!1s0x9681402690dd76eb:0x4b283f8fe10ce3f3!2m2!1d-68.5293623!2d-31.542635!1m5!1m1!1s0x9680d91010aa2b73:0x3e9b84ae38a7a999!2m2!1d-68.6965695!2d-32.0013054!1m5!1m1!1s0x9681402690dd76eb:0x4b283f8fe10ce3f3!2m2!1d-68.5293623!2d-31.542635!3e0?hl=es&amp;entry=ttu&amp;g_ep=EgoyMDI1MDgxOS4wIKXMDSoASAFQAw%3D%3D</v>
          </cell>
          <cell r="H594">
            <v>167</v>
          </cell>
        </row>
        <row r="595">
          <cell r="D595" t="str">
            <v>79G2RYH</v>
          </cell>
          <cell r="E595" t="str">
            <v>Caucte</v>
          </cell>
          <cell r="F595" t="str">
            <v>https://maps.google.com/maps?q=-31.6012617%2C-68.2901261&amp;z=17&amp;hl=es</v>
          </cell>
          <cell r="G595" t="str">
            <v>https://www.google.com/maps/dir/Catamarca+Sur+664,+San+Juan/Escuela+Estanislao+Del+Campo+N%C2%B0821,+Caucete,+San+Juan/Catamarca+Sur+664,+San+Juan/@-31.5857956,-68.4930715,19740m/data=!3m2!1e3!4b1!4m20!4m19!1m5!1m1!1s0x9681402690dd76eb:0x4b283f8fe10ce3f3!2m2!1d-68.5293623!2d-31.542635!1m5!1m1!1s0x96810dcc427bd0a3:0x475bcc3ff8fc6c6!2m2!1d-68.290325!2d-31.6011449!1m5!1m1!1s0x9681402690dd76eb:0x4b283f8fe10ce3f3!2m2!1d-68.5293623!2d-31.542635!3e0?hl=es&amp;entry=ttu&amp;g_ep=EgoyMDI1MDgxOS4wIKXMDSoASAFQAw%3D%3D</v>
          </cell>
          <cell r="H595">
            <v>60</v>
          </cell>
        </row>
        <row r="596">
          <cell r="D596" t="str">
            <v>79G5VGP</v>
          </cell>
          <cell r="E596" t="str">
            <v>CARPINTERIA</v>
          </cell>
          <cell r="F596" t="str">
            <v>https://maps.app.goo.gl/RLSXzJoQMhUrkxDV6</v>
          </cell>
          <cell r="G596" t="str">
            <v>https://www.google.com/maps/dir/Catamarca+Sur+664,+San+Juan/Escuela+DRA.+FRANCISCA+DE+PAEZ,+Pocito,+San+Juan/Catamarca+Sur+664,+San+Juan/@-31.6997918,-68.7020631,39431m/data=!3m2!1e3!4b1!4m20!4m19!1m5!1m1!1s0x9681402690dd76eb:0x4b283f8fe10ce3f3!2m2!1d-68.5293623!2d-31.542635!1m5!1m1!1s0x968121dcf3a77b1f:0x201b11da3a02276a!2m2!1d-68.5341784!2d-31.858688!1m5!1m1!1s0x9681402690dd76eb:0x4b283f8fe10ce3f3!2m2!1d-68.5293623!2d-31.542635!3e0?hl=es&amp;entry=ttu&amp;g_ep=EgoyMDI1MDgyNS4wIKXMDSoASAFQAw%3D%3D</v>
          </cell>
          <cell r="H596">
            <v>75.400000000000006</v>
          </cell>
        </row>
        <row r="597">
          <cell r="D597" t="str">
            <v>ZELLBJFK9000JNK</v>
          </cell>
          <cell r="E597" t="str">
            <v>Jachal (Gualcamayo)</v>
          </cell>
          <cell r="F597" t="str">
            <v>https://maps.app.goo.gl/ZnasomcJ1GEdhvdY8</v>
          </cell>
          <cell r="G597"/>
          <cell r="H597">
            <v>500</v>
          </cell>
        </row>
        <row r="598">
          <cell r="D598" t="str">
            <v>79G1BZ2</v>
          </cell>
          <cell r="E598" t="str">
            <v>Ullum</v>
          </cell>
          <cell r="F598" t="str">
            <v>https://maps.app.goo.gl/hyZ6m3a4h94eLC8w9</v>
          </cell>
          <cell r="G598" t="str">
            <v>https://www.google.com/maps/dir/Catamarca+Sur+664,+San+Juan/Escuela+De+Educaci%C3%B3n+Especial+M%C3%BAltiple+De+Ullum,+Ull%C3%BAm,+San+Juan/Catamarca+Sur+664,+San+Juan/@-31.5186569,-68.7167684,19754m/data=!3m2!1e3!4b1!4m20!4m19!1m5!1m1!1s0x9681402690dd76eb:0x4b283f8fe10ce3f3!2m2!1d-68.5293623!2d-31.542635!1m5!1m1!1s0x96814f98fa55e6d7:0xbde950af33f7529b!2m2!1d-68.73937!2d-31.4693711!1m5!1m1!1s0x9681402690dd76eb:0x4b283f8fe10ce3f3!2m2!1d-68.5293623!2d-31.542635!3e0?hl=es&amp;entry=ttu&amp;g_ep=EgoyMDI1MDgyNS4wIKXMDSoASAFQAw%3D%3D</v>
          </cell>
          <cell r="H598">
            <v>64.709999999999994</v>
          </cell>
        </row>
        <row r="599">
          <cell r="D599" t="str">
            <v>793H5M6</v>
          </cell>
          <cell r="E599" t="str">
            <v>RAWSON</v>
          </cell>
          <cell r="F599" t="str">
            <v>https://maps.app.goo.gl/8BXqxXeLVKaDwmCX7</v>
          </cell>
          <cell r="G599" t="str">
            <v>google.com/maps/dir/Catamarca+Sur+664,+San+Juan/E.N.I.+Nº+34+Magdalena+Güemes,+Félix+Aguilar+entre,+C.+Álvarez+Condarco+Sur+y,+Neuquén,+San+Juan/Catamarca+Sur+664,+San+Juan/@-31.5621446,-68.5634921,4936m/data=!3m1!1e3!4m20!4m19!1m5!1m1!1s0x9681402690dd76eb:0x4b283f8fe10ce3f3!2m2!1d-68.5293623!2d-31.542635!1m5!1m1!1s0x96813f70d09c0df7:0x553aa40d1dfadd16!2m2!1d-68.5607252!2d-31.5819622!1m5!1m1!1s0x9681402690dd76eb:0x4b283f8fe10ce3f3!2m2!1d-68.5293623!2d-31.542635!3e0?entry=ttu&amp;g_ep=EgoyMDI1MDgyNS4wIKXMDSoASAFQAw%3D%3D</v>
          </cell>
          <cell r="H599">
            <v>13.2</v>
          </cell>
        </row>
        <row r="600">
          <cell r="D600" t="str">
            <v>076UBJFJA00061T</v>
          </cell>
          <cell r="E600" t="str">
            <v>San Martín</v>
          </cell>
          <cell r="F600" t="str">
            <v>https://maps.app.goo.gl/vq4migiucbtJf4ku7</v>
          </cell>
          <cell r="G600" t="str">
            <v>google.com/maps/dir/Catamarca+Sur+664,+San+Juan/Colegio+Secundario+Augusto+Pulenta,+Villa+Don+Bosco,+San+Juan/Catamarca+Sur+664,+San+Juan/@-31.5464371,-68.5147314,19748m/data=!3m1!1e3!4m20!4m19!1m5!1m1!1s0x9681402690dd76eb:0x4b283f8fe10ce3f3!2m2!1d-68.5293623!2d-31.542635!1m5!1m1!1s0x968112a096a73791:0x552b465065a9a628!2m2!1d-68.3350544!2d-31.5550258!1m5!1m1!1s0x9681402690dd76eb:0x4b283f8fe10ce3f3!2m2!1d-68.5293623!2d-31.542635!3e0?hl=es&amp;entry=ttu&amp;g_ep=EgoyMDI1MDgyNS4wIKXMDSoASAFQAw%3D%3D</v>
          </cell>
          <cell r="H600">
            <v>48.8</v>
          </cell>
        </row>
        <row r="601">
          <cell r="D601" t="str">
            <v>076UBJFH20007DD</v>
          </cell>
          <cell r="E601" t="str">
            <v>San Martín</v>
          </cell>
          <cell r="F601" t="str">
            <v>https://maps.app.goo.gl/u8at9xELZiDRfMuR6</v>
          </cell>
          <cell r="G601" t="str">
            <v>google.com/maps/dir/Catamarca+Sur+664,+San+Juan/Escuela+Juan+Larrea+E.M.E.R,+San+Isidro,+San+Juan/Catamarca+Sur+664,+San+Juan/@-31.5101639,-68.5110071,19756m/data=!3m1!1e3!4m20!4m19!1m5!1m1!1s0x9681402690dd76eb:0x4b283f8fe10ce3f3!2m2!1d-68.5293623!2d-31.542635!1m5!1m1!1s0x9681727d0414f8e1:0xc1d4c8923c3f7c8b!2m2!1d-68.3245774!2d-31.4894476!1m5!1m1!1s0x9681402690dd76eb:0x4b283f8fe10ce3f3!2m2!1d-68.5293623!2d-31.542635!3e0?hl=es&amp;entry=ttu&amp;g_ep=EgoyMDI1MDgyNS4wIKXMDSoASAFQAw%3D%3D</v>
          </cell>
          <cell r="H601">
            <v>55.7</v>
          </cell>
        </row>
        <row r="602">
          <cell r="D602" t="str">
            <v>076UBJFJ30000YP</v>
          </cell>
          <cell r="E602" t="str">
            <v>Angaco</v>
          </cell>
          <cell r="F602" t="str">
            <v>https://maps.app.goo.gl/TNmuD2WXsZaeGYKu9</v>
          </cell>
          <cell r="G602" t="str">
            <v>google.com/maps/dir/Catamarca+Sur+664,+San+Juan/Instituto+Superior+de+Formación+Técnica+Angaco,+RP170,+J5415+Villa+del+Salvador,+San+Juan/Catamarca+Sur+664,+San+Juan/@-31.499519,-68.5549395,19758m/data=!3m1!1e3!4m20!4m19!1m5!1m1!1s0x9681402690dd76eb:0x4b283f8fe10ce3f3!2m2!1d-68.5293623!2d-31.542635!1m5!1m1!1s0x96816f00434937ab:0x1b8ce32765cf005d!2m2!1d-68.4093198!2d-31.456745!1m5!1m1!1s0x9681402690dd76eb:0x4b283f8fe10ce3f3!2m2!1d-68.5293623!2d-31.542635!3e0?hl=es&amp;entry=ttu&amp;g_ep=EgoyMDI1MDgyNS4wIKXMDSoASAFQAw%3D%3D</v>
          </cell>
          <cell r="H602">
            <v>43.2</v>
          </cell>
        </row>
        <row r="603">
          <cell r="D603" t="str">
            <v>076UBJFJA0005QE</v>
          </cell>
          <cell r="E603" t="str">
            <v>Capital</v>
          </cell>
          <cell r="F603" t="str">
            <v>https://maps.app.goo.gl/rtGKVY5gBAYuvPfC7</v>
          </cell>
          <cell r="G603" t="str">
            <v>google.com/maps/dir/Catamarca+Sur+664,+San+Juan/Instituto+De+Formación+Docente+"Margarita+Ferrá+De+Bartol",+200,+J5400EFD,+Mendoza+Nte.+102,+J5400EFD+San+Juan/Catamarca+Sur+664,+San+Juan/@-31.5372514,-68.5386937,2469m/data=!3m1!1e3!4m20!4m19!1m5!1m1!1s0x9681402690dd76eb:0x4b283f8fe10ce3f3!2m2!1d-68.5293623!2d-31.542635!1m5!1m1!1s0x968140298ac83a69:0xa264350cc8f9b8c6!2m2!1d-68.5264191!2d-31.5328282!1m5!1m1!1s0x9681402690dd76eb:0x4b283f8fe10ce3f3!2m2!1d-68.5293623!2d-31.542635!3e0?hl=es&amp;entry=ttu&amp;g_ep=EgoyMDI1MDgyNS4wIKXMDSoASAFQAw%3D%3D</v>
          </cell>
          <cell r="H603">
            <v>3.3</v>
          </cell>
        </row>
        <row r="604">
          <cell r="D604" t="str">
            <v>79G3HV6</v>
          </cell>
          <cell r="E604" t="str">
            <v>Capital</v>
          </cell>
          <cell r="F604" t="str">
            <v>https://maps.app.goo.gl/cGd2fx5zMkGjTig86</v>
          </cell>
          <cell r="G604" t="str">
            <v>google.com/maps/dir/Catamarca+Sur+664,+San+Juan/ISFT+Escuela+de+Bibliotecología+Dr.+Mariano+Moreno,+ARD,+Av.+Libertador+Gral.+San+Martín+381,+J5400+J5400ARD,+San+Juan/Catamarca+Sur+664,+San+Juan/@-31.538548,-68.5356172,1234m/data=!3m1!1e3!4m20!4m19!1m5!1m1!1s0x9681402690dd76eb:0x4b283f8fe10ce3f3!2m2!1d-68.5293623!2d-31.542635!1m5!1m1!1s0x9681416fc2a7ba7d:0xaf9f1e0cf54f6104!2m2!1d-68.5315723!2d-31.5344623!1m5!1m1!1s0x9681402690dd76eb:0x4b283f8fe10ce3f3!2m2!1d-68.5293623!2d-31.542635!3e0?hl=es&amp;entry=ttu&amp;g_ep=EgoyMDI1MDgyNS4wIKXMDSoASAFQAw%3D%3D</v>
          </cell>
          <cell r="H604">
            <v>2.7</v>
          </cell>
        </row>
        <row r="605">
          <cell r="D605" t="str">
            <v>076UBJFH100004Z</v>
          </cell>
          <cell r="E605" t="str">
            <v>Capital</v>
          </cell>
          <cell r="F605" t="str">
            <v>https://maps.app.goo.gl/cGd2fx5zMkGjTig86</v>
          </cell>
          <cell r="G605" t="str">
            <v>google.com/maps/dir/Catamarca+Sur+664,+San+Juan/ISFT+Escuela+de+Bibliotecología+Dr.+Mariano+Moreno,+ARD,+Av.+Libertador+Gral.+San+Martín+381,+J5400+J5400ARD,+San+Juan/Catamarca+Sur+664,+San+Juan/@-31.538548,-68.5356172,1234m/data=!3m1!1e3!4m20!4m19!1m5!1m1!1s0x9681402690dd76eb:0x4b283f8fe10ce3f3!2m2!1d-68.5293623!2d-31.542635!1m5!1m1!1s0x9681416fc2a7ba7d:0xaf9f1e0cf54f6104!2m2!1d-68.5315723!2d-31.5344623!1m5!1m1!1s0x9681402690dd76eb:0x4b283f8fe10ce3f3!2m2!1d-68.5293623!2d-31.542635!3e0?hl=es&amp;entry=ttu&amp;g_ep=EgoyMDI1MDgyNS4wIKXMDSoASAFQAw%3D%3D</v>
          </cell>
          <cell r="H605">
            <v>2.7</v>
          </cell>
        </row>
        <row r="606">
          <cell r="D606" t="str">
            <v>076UBJFJA0004DY</v>
          </cell>
          <cell r="E606" t="str">
            <v>Capital</v>
          </cell>
          <cell r="F606" t="str">
            <v>https://maps.app.goo.gl/QD6U6MrwzSXNKns26</v>
          </cell>
          <cell r="G606" t="str">
            <v>https://www.google.com/maps/dir/Catamarca+Sur+664,+San+Juan/ISFD+Escuela+Normal+Superior+Sarmiento,+Santiago+del+Estero+Sur,+J5402+San+Juan/Catamarca+Sur+664,+San+Juan/@-31.540165,-68.5373812,1234m/data=!3m2!1e3!4b1!4m20!4m19!1m5!1m1!1s0x9681402690dd76eb:0x4b283f8fe10ce3f3!2m2!1d-68.5293623!2d-31.542635!1m5!1m1!1s0x968141c7616d4cef:0xe0421ce0356c4fb0!2m2!1d-68.5330613!2d-31.5358522!1m5!1m1!1s0x9681402690dd76eb:0x4b283f8fe10ce3f3!2m2!1d-68.5293623!2d-31.542635!3e0?hl=es&amp;entry=ttu&amp;g_ep=EgoyMDI1MDgyNS4wIKXMDSoASAFQAw%3D%3D</v>
          </cell>
          <cell r="H606">
            <v>3</v>
          </cell>
        </row>
        <row r="607">
          <cell r="D607" t="str">
            <v>793H5GW</v>
          </cell>
          <cell r="E607" t="str">
            <v>Sarmiento</v>
          </cell>
          <cell r="F607" t="str">
            <v>https://maps.google.com/maps?q=-32.0930566%2C-68.6192512&amp;z=17&amp;hl=es</v>
          </cell>
          <cell r="G607" t="str">
            <v>https://www.google.com/maps/dir/Catamarca+Sur+664,+San+Juan/-32.0930566,-68.6192512/Catamarca+Sur+664,+San+Juan/@-31.8211837,-68.8590518,78759m/data=!3m2!1e3!4b1!4m15!4m14!1m5!1m1!1s0x9681402690dd76eb:0x4b283f8fe10ce3f3!2m2!1d-68.5293623!2d-31.542635!1m0!1m5!1m1!1s0x9681402690dd76eb:0x4b283f8fe10ce3f3!2m2!1d-68.5293623!2d-31.542635!3e0?hl=es&amp;entry=ttu&amp;g_ep=EgoyMDI1MDgyNS4wIKXMDSoASAFQAw%3D%3D</v>
          </cell>
          <cell r="H607">
            <v>162</v>
          </cell>
        </row>
        <row r="608">
          <cell r="D608" t="str">
            <v>79G2T10</v>
          </cell>
          <cell r="E608" t="str">
            <v>Sarmiento</v>
          </cell>
          <cell r="F608" t="str">
            <v>https://maps.app.goo.gl/wyEA841eXJ32N56y9</v>
          </cell>
          <cell r="G608" t="str">
            <v>https://www.google.com/maps/dir/Catamarca+Sur+664,+San+Juan/Escuela+20+de+junio,+Mendoza+%26+Gral.+Madrid,+San+Juan/Catamarca+Sur+664,+San+Juan/@-31.7443516,-68.8477372,78825m/data=!3m1!1e3!4m20!4m19!1m5!1m1!1s0x9681402690dd76eb:0x4b283f8fe10ce3f3!2m2!1d-68.5293623!2d-31.542635!1m5!1m1!1s0x9680e1ab19b8cf09:0x798887884cfce14!2m2!1d-68.475274!2d-31.9493955!1m5!1m1!1s0x9681402690dd76eb:0x4b283f8fe10ce3f3!2m2!1d-68.5293623!2d-31.542635!3e0?hl=es&amp;entry=ttu&amp;g_ep=EgoyMDI1MDgyNS4wIKXMDSoASAFQAw%3D%3D</v>
          </cell>
          <cell r="H608">
            <v>99.3</v>
          </cell>
        </row>
        <row r="609">
          <cell r="D609" t="str">
            <v>076UBJFJ30003FV</v>
          </cell>
          <cell r="E609" t="str">
            <v>Sarmiento</v>
          </cell>
          <cell r="F609" t="str">
            <v>https://maps.app.goo.gl/mH7SBCL3YcfTWKyv7</v>
          </cell>
          <cell r="G609" t="str">
            <v>https://www.google.com/maps/dir/Catamarca+Sur+664,+San+Juan/Escuela+De+Nivel+Secundario+Los+Berros,+Calle+del+Medio+S%2FN,+J5431+Los+Berros,+San+Juan/Catamarca+Sur+664,+San+Juan/@-31.762373,-68.8793868,78809m/data=!3m2!1e3!4b1!4m20!4m19!1m5!1m1!1s0x9681402690dd76eb:0x4b283f8fe10ce3f3!2m2!1d-68.5293623!2d-31.542635!1m5!1m1!1s0x9680d88ee81e4a1d:0xfec9c0943663da6!2m2!1d-68.6599929!2d-31.9560697!1m5!1m1!1s0x9681402690dd76eb:0x4b283f8fe10ce3f3!2m2!1d-68.5293623!2d-31.542635!3e0?hl=es&amp;entry=ttu&amp;g_ep=EgoyMDI1MDgyNS4wIKXMDSoASAFQAw%3D%3D</v>
          </cell>
          <cell r="H609">
            <v>152</v>
          </cell>
        </row>
        <row r="610">
          <cell r="D610" t="str">
            <v>076UBJFJ30000NH</v>
          </cell>
          <cell r="E610" t="str">
            <v>POCITO</v>
          </cell>
          <cell r="F610" t="str">
            <v>https://maps.app.goo.gl/Dzsqod848f7wEWWt6</v>
          </cell>
          <cell r="G610" t="str">
            <v>https://www.google.com/maps/dir/Catamarca+Sur,+San+Juan/Escuela+Secundaria+Jos%C3%A9+Rudecindo+Rojo,+Pocito,+San+Juan/Catamarca+Sur,+San+Juan/@-31.6197952,-68.6259863,19733m/data=!3m2!1e3!4b1!4m20!4m19!1m5!1m1!1s0x968140269756b7e1:0x3c38eb6d66eb45d!2m2!1d-68.5295918!2d-31.5427459!1m5!1m1!1s0x96813d7fc888b51f:0x9b504346e71ba793!2m2!1d-68.5730918!2d-31.6914414!1m5!1m1!1s0x968140269756b7e1:0x3c38eb6d66eb45d!2m2!1d-68.5295918!2d-31.5427459!3e0?hl=es&amp;entry=ttu&amp;g_ep=EgoyMDI1MTAwOC4wIKXMDSoASAFQAw%3D%3D</v>
          </cell>
          <cell r="H610">
            <v>42.7</v>
          </cell>
        </row>
        <row r="611">
          <cell r="D611" t="str">
            <v>79G1CC8</v>
          </cell>
          <cell r="E611">
            <v>45802</v>
          </cell>
          <cell r="F611" t="str">
            <v>https://maps.app.goo.gl/NMPgLDJKN77L4ms97</v>
          </cell>
          <cell r="G611" t="str">
            <v>google.com/maps/dir/Catamarca+Sur,+San+Juan/Escuela+Juana+de+Ibarbourou,+C.+9,+Las+Casuarinas,+San+Juan/Catamarca+Sur,+San+Juan/@-31.6703973,-68.5969551,39444m/data=!3m1!1e3!4m20!4m19!1m5!1m1!1s0x968140269756b7e1:0x3c38eb6d66eb45d!2m2!1d-68.5295918!2d-31.5427459!1m5!1m1!1s0x96811b6db6dcb4e1:0x56510619651b311e!2m2!1d-68.352402!2d-31.8001392!1m5!1m1!1s0x968140269756b7e1:0x3c38eb6d66eb45d!2m2!1d-68.5295918!2d-31.5427459!3e0?hl=es&amp;entry=ttu&amp;g_ep=EgoyMDI1MTAwOC4wIKXMDSoASAFQAw%3D%3D</v>
          </cell>
          <cell r="H611">
            <v>79.900000000000006</v>
          </cell>
        </row>
        <row r="612">
          <cell r="D612" t="str">
            <v>793G8KT</v>
          </cell>
          <cell r="E612" t="str">
            <v>SANTA LUCIA</v>
          </cell>
          <cell r="F612" t="str">
            <v>https://maps.app.goo.gl/6tJB8Mx3kdFhNXEE6</v>
          </cell>
          <cell r="G612" t="str">
            <v>google.com/maps/dir/Catamarca+Sur,+San+Juan/Instituto+Superior+De+Educación+Física+N°+20+-+La+Granja,+Roque+Sáenz+Peña+Este+2952,+J5411+Santa+Lucía,+San+Juan/Catamarca+Sur,+San+Juan/@-31.5376989,-68.5302927,4938m/data=!3m1!1e3!4m20!4m19!1m5!1m1!1s0x968140269756b7e1:0x3c38eb6d66eb45d!2m2!1d-68.5295918!2d-31.5427459!1m5!1m1!1s0x96816af07e758135:0xb6511887d5c7be03!2m2!1d-68.4893112!2d-31.5290679!1m5!1m1!1s0x968140269756b7e1:0x3c38eb6d66eb45d!2m2!1d-68.5295918!2d-31.5427459!3e0?hl=es&amp;entry=ttu&amp;g_ep=EgoyMDI1MTAwOC4wIKXMDSoASAFQAw%3D%3D</v>
          </cell>
          <cell r="H612">
            <v>12.4</v>
          </cell>
        </row>
        <row r="613">
          <cell r="D613" t="str">
            <v>79G15T6</v>
          </cell>
          <cell r="E613" t="str">
            <v>IGLESIA (Colanguil)</v>
          </cell>
          <cell r="F613" t="str">
            <v>https://maps.app.goo.gl/NHPm5Szqvm3XdVWT6</v>
          </cell>
          <cell r="G613" t="str">
            <v>https://www.google.com/maps/dir/Catamarca+Sur,+San+Juan/Escuela+Hilario+Ascasubi+de+Colang%C3%BCil,+Unnamed+Road,+San+Juan/Catamarca+Sur,+San+Juan/@-30.782935,-70.2168441,318527m/data=!3m2!1e3!4b1!4m20!4m19!1m5!1m1!1s0x968140269756b7e1:0x3c38eb6d66eb45d!2m2!1d-68.5295918!2d-31.5427459!1m5!1m1!1s0x9684cb23da9b0e21:0x4addac85881a65f!2m2!1d-69.2913555!2d-30.031442!1m5!1m1!1s0x968140269756b7e1:0x3c38eb6d66eb45d!2m2!1d-68.5295918!2d-31.5427459!3e0?hl=es&amp;entry=ttu&amp;g_ep=EgoyMDI1MTAwOC4wIKXMDSoASAFQAw%3D%3D</v>
          </cell>
          <cell r="H613">
            <v>465</v>
          </cell>
        </row>
        <row r="614">
          <cell r="D614" t="str">
            <v>79G49CG</v>
          </cell>
          <cell r="E614" t="str">
            <v>IGLESIA</v>
          </cell>
          <cell r="F614" t="str">
            <v>https://maps.app.goo.gl/QmVbkwgm6Dmou7wp8</v>
          </cell>
          <cell r="G614" t="str">
            <v>https://www.google.com/maps/dir/Catamarca+Sur,+San+Juan/Escuela+Albergue+Paso+de+los+Andes,+Iglesia,+San+Juan/Catamarca+Sur,+San+Juan/@-30.7478733,-70.1871688,318644m/data=!3m1!1e3!4m20!4m19!1m5!1m1!1s0x968140269756b7e1:0x3c38eb6d66eb45d!2m2!1d-68.5295918!2d-31.5427459!1m5!1m1!1s0x9684b36f97aef35b:0xaeae1a3a579803da!2m2!1d-69.1790909!2d-29.9589037!1m5!1m1!1s0x968140269756b7e1:0x3c38eb6d66eb45d!2m2!1d-68.5295918!2d-31.5427459!3e0?hl=es&amp;entry=ttu&amp;g_ep=EgoyMDI1MTAwOC4wIKXMDSoASAFQAw%3D%3D</v>
          </cell>
          <cell r="H614">
            <v>467</v>
          </cell>
        </row>
        <row r="615">
          <cell r="D615" t="str">
            <v>793PZH9</v>
          </cell>
          <cell r="E615" t="str">
            <v>CAPITAL</v>
          </cell>
          <cell r="F615" t="str">
            <v>https://maps.app.goo.gl/ZGTHtAnQoDmdaN8k6</v>
          </cell>
          <cell r="G615" t="str">
            <v>google.com/maps/dir/Catamarca+Sur,+San+Juan/Escuela+Laprida,+J5400AMN,+San+Luis+602-700,+J5400AMN+San+Juan/Catamarca+Sur,+San+Juan/@-31.5369338,-68.5323053,2469m/data=!3m1!1e3!4m20!4m19!1m5!1m1!1s0x968140269756b7e1:0x3c38eb6d66eb45d!2m2!1d-68.5295918!2d-31.5427459!1m5!1m1!1s0x96816a843ee65a33:0xbb8db7323deb695c!2m2!1d-68.5170151!2d-31.5321299!1m5!1m1!1s0x968140269756b7e1:0x3c38eb6d66eb45d!2m2!1d-68.5295918!2d-31.5427459!3e0?hl=es&amp;entry=ttu&amp;g_ep=EgoyMDI1MTAwOC4wIKXMDSoASAFQAw%3D%3D</v>
          </cell>
          <cell r="H615">
            <v>5.0999999999999996</v>
          </cell>
        </row>
        <row r="616">
          <cell r="D616" t="str">
            <v>79G4MGC</v>
          </cell>
          <cell r="E616" t="str">
            <v>CAPITAL</v>
          </cell>
          <cell r="F616" t="str">
            <v>https://maps.app.goo.gl/NVjwzQjTXCerwjJ76</v>
          </cell>
          <cell r="G616" t="str">
            <v>google.com/maps/dir/Catamarca+Sur,+San+Juan/Escuela+Bernardino+Rivadavia,+J5400AMN,+San+Luis+602-700,+J5400AMN+San+Juan/Catamarca+Sur,+San+Juan/@-31.5369338,-68.5323053,2469m/data=!3m1!1e3!4m20!4m19!1m5!1m1!1s0x968140269756b7e1:0x3c38eb6d66eb45d!2m2!1d-68.5295918!2d-31.5427459!1m5!1m1!1s0x96816a843eab8c83:0x33e8e32fbc8d532d!2m2!1d-68.5169143!2d-31.5321226!1m5!1m1!1s0x968140269756b7e1:0x3c38eb6d66eb45d!2m2!1d-68.5295918!2d-31.5427459!3e0?hl=es&amp;entry=ttu&amp;g_ep=EgoyMDI1MTAwOC4wIKXMDSoASAFQAw%3D%3D</v>
          </cell>
          <cell r="H616">
            <v>5.0999999999999996</v>
          </cell>
        </row>
        <row r="617">
          <cell r="D617" t="str">
            <v>79G1CF7</v>
          </cell>
          <cell r="E617" t="str">
            <v>Chimbas (VIlla Union)</v>
          </cell>
          <cell r="F617" t="str">
            <v>https://maps.app.goo.gl/2ZwQZeFhFUiaHe7E9</v>
          </cell>
          <cell r="G617" t="str">
            <v>https://www.google.com/maps/dir/Catamarca+Sur,+San+Juan/Esc.+Marcelo+Yacante,+B.,+Centenario+Este,+Chimbas,+San+Juan/Catamarca+Sur,+San+Juan/@-31.5157073,-68.5606227,9877m/data=!3m2!1e3!4b1!4m20!4m19!1m5!1m1!1s0x968140269756b7e1:0x3c38eb6d66eb45d!2m2!1d-68.5295918!2d-31.5427459!1m5!1m1!1s0x96814207667ba893:0x50fecd1770049b6f!2m2!1d-68.5253461!2d-31.4765942!1m5!1m1!1s0x968140269756b7e1:0x3c38eb6d66eb45d!2m2!1d-68.5295918!2d-31.5427459!3e0?hl=es&amp;entry=ttu&amp;g_ep=EgoyMDI1MTAwOC4wIKXMDSoASAFQAw%3D%3D</v>
          </cell>
          <cell r="H617">
            <v>24.2</v>
          </cell>
        </row>
        <row r="618">
          <cell r="D618" t="str">
            <v>79G5VKP</v>
          </cell>
          <cell r="E618" t="str">
            <v>Pocito</v>
          </cell>
          <cell r="F618" t="str">
            <v>https://maps.app.goo.gl/nmy8Nz2NggEAFvQv7</v>
          </cell>
          <cell r="G618" t="str">
            <v>google.com/maps/dir/Catamarca+Sur,+San+Juan/Escuela+Rabindranath+Tagore,+J5427+Pocito,+San+Juan/Catamarca+Sur,+San+Juan/@-31.5675,-68.5696657,9872m/data=!3m1!1e3!4m20!4m19!1m5!1m1!1s0x968140269756b7e1:0x3c38eb6d66eb45d!2m2!1d-68.5295918!2d-31.5427459!1m5!1m1!1s0x96813febd17cc889:0xf01e4fc96574812b!2m2!1d-68.5431214!2d-31.5924537!1m5!1m1!1s0x968140269756b7e1:0x3c38eb6d66eb45d!2m2!1d-68.5295918!2d-31.5427459!3e0?hl=es&amp;entry=ttu&amp;g_ep=EgoyMDI1MTAwOC4wIKXMDSoASAFQAw%3D%3D</v>
          </cell>
          <cell r="H618">
            <v>18.7</v>
          </cell>
        </row>
        <row r="619">
          <cell r="D619" t="str">
            <v>79G498Y</v>
          </cell>
          <cell r="E619" t="str">
            <v>pocito</v>
          </cell>
          <cell r="F619" t="str">
            <v>https://maps.app.goo.gl/SHJQxy6sdy9rdxRM6</v>
          </cell>
          <cell r="G619" t="str">
            <v>google.com/maps/dir/Catamarca+Sur,+San+Juan/Escuela+DRA.+FRANCISCA+DE+PAEZ,+Pocito,+San+Juan/Catamarca+Sur,+San+Juan/@-31.6997918,-68.7024164,39431m/data=!3m1!1e3!4m20!4m19!1m5!1m1!1s0x968140269756b7e1:0x3c38eb6d66eb45d!2m2!1d-68.5295918!2d-31.5427459!1m5!1m1!1s0x968121dcf3a77b1f:0x201b11da3a02276a!2m2!1d-68.5341784!2d-31.858688!1m5!1m1!1s0x968140269756b7e1:0x3c38eb6d66eb45d!2m2!1d-68.5295918!2d-31.5427459!3e0?hl=es&amp;entry=ttu&amp;g_ep=EgoyMDI1MTAwOC4wIKXMDSoASAFQAw%3D%3D</v>
          </cell>
          <cell r="H619">
            <v>75.400000000000006</v>
          </cell>
        </row>
        <row r="620">
          <cell r="D620" t="str">
            <v>79G3Z4G</v>
          </cell>
          <cell r="E620" t="str">
            <v>SARMIENTO</v>
          </cell>
          <cell r="F620" t="str">
            <v>https://maps.app.goo.gl/cyTqBF9niXaLkDNAA</v>
          </cell>
          <cell r="G620" t="str">
            <v>https://www.google.com/maps/dir/Catamarca+Sur,+San+Juan/Escuela+Primaria+Ingeniero+F%C3%A9lix+Aguilar,+Belgrano+418,+J5435+Media+Agua,+San+Juan/Catamarca+Sur,+San+Juan/@-31.7606867,-68.7898377,78811m/data=!3m1!1e3!4m20!4m19!1m5!1m1!1s0x968140269756b7e1:0x3c38eb6d66eb45d!2m2!1d-68.5295918!2d-31.5427459!1m5!1m1!1s0x9680e3fe7f644b31:0x2c0017d1b85b25dd!2m2!1d-68.4263706!2d-31.9820632!1m5!1m1!1s0x968140269756b7e1:0x3c38eb6d66eb45d!2m2!1d-68.5295918!2d-31.5427459!3e0?hl=es&amp;entry=ttu&amp;g_ep=EgoyMDI1MTAwOC4wIKXMDSoASAFQAw%3D%3D</v>
          </cell>
          <cell r="H620">
            <v>111</v>
          </cell>
        </row>
        <row r="621">
          <cell r="D621" t="str">
            <v>79G3PZY</v>
          </cell>
          <cell r="E621" t="str">
            <v>SAN MARTIN</v>
          </cell>
          <cell r="F621" t="str">
            <v>https://maps.google.com/maps?q=-31.4847035%2C-68.3229072&amp;z=17&amp;hl=es</v>
          </cell>
          <cell r="G621" t="str">
            <v>https://www.google.com/maps/dir/Catamarca+Sur+664,+San+Juan/Escuela+de+Educaci%C3%B3n+Especial+Crucero+ARA+Gral.+Belgrano,+C.+Jachal,+San+Isidro,+San+Juan/Catamarca+Sur+664,+San+Juan/@-31.516338,-68.5116057,19755m/data=!3m2!1e3!4b1!4m20!4m19!1m5!1m1!1s0x9681402690dd76eb:0x4b283f8fe10ce3f3!2m2!1d-68.5293761!2d-31.5426363!1m5!1m1!1s0x968173cde1c27531:0xb6a9a5422badd71c!2m2!1d-68.3226523!2d-31.4848245!1m5!1m1!1s0x9681402690dd76eb:0x4b283f8fe10ce3f3!2m2!1d-68.5293761!2d-31.5426363!3e0?hl=es&amp;entry=ttu&amp;g_ep=EgoyMDI1MDczMC4wIKXMDSoASAFQAw%3D%3D</v>
          </cell>
          <cell r="H621">
            <v>56.9</v>
          </cell>
        </row>
        <row r="622">
          <cell r="D622" t="str">
            <v>79G49DT</v>
          </cell>
          <cell r="E622" t="str">
            <v>CAPITAL</v>
          </cell>
          <cell r="F622" t="str">
            <v>https://maps.app.goo.gl/dKvnpqhzoHJsSuUf6</v>
          </cell>
          <cell r="G622" t="str">
            <v>google.com/maps/dir/Catamarca+Sur,+San+Juan/C.E.N.S.+N°+348+MADRE+TERESA+de+CALCUTA+de+SAN+JUAN,+Av.+José+Ignacio+de+la+Roza+Oeste+321+J5402DCQ,+J5402DCQ+Rivadavia,+San+Juan/Catamarca+Sur,+San+Juan/@-31.5400787,-68.5352162,1234m/data=!3m1!1e3!4m20!4m19!1m5!1m1!1s0x968140269756b7e1:0x3c38eb6d66eb45d!2m2!1d-68.5295918!2d-31.5427459!1m5!1m1!1s0x968141f4231c7fbb:0x82d76fe39c268c1e!2m2!1d-68.5305409!2d-31.53743!1m5!1m1!1s0x968140269756b7e1:0x3c38eb6d66eb45d!2m2!1d-68.5295918!2d-31.5427459!3e0?entry=ttu&amp;g_ep=EgoyMDI1MTAwOC4wIKXMDSoASAFQAw%3D%3D</v>
          </cell>
          <cell r="H622">
            <v>1.6</v>
          </cell>
        </row>
        <row r="623">
          <cell r="D623" t="str">
            <v>7945BFF</v>
          </cell>
          <cell r="E623" t="str">
            <v>SARMIENTO</v>
          </cell>
          <cell r="F623" t="str">
            <v>https://maps.app.goo.gl/rXsrdYL7ixGHTRJH6</v>
          </cell>
          <cell r="G623" t="str">
            <v>https://www.google.com/maps/dir/Catamarca+Sur+664,+San+Juan/Esc.+Agrot%C3%A9cnica+Sarmiento,+Avenida+25+de+Mayo,+Media+Agua,+Sarmiento,+San+Juan/Catamarca+Sur+664,+San+Juan/@-31.7654839,-68.8204968,78807m/data=!3m2!1e3!4b1!4m20!4m19!1m5!1m1!1s0x9681402690dd76eb:0x4b283f8fe10ce3f3!2m2!1d-68.5293761!2d-31.5426363!1m5!1m1!1s0x9680e40144e235e5:0xab34cb317d3756d6!2m2!1d-68.4242972!2d-31.9916446!1m5!1m1!1s0x9681402690dd76eb:0x4b283f8fe10ce3f3!2m2!1d-68.5293761!2d-31.5426363!3e0?entry=ttu&amp;g_ep=EgoyMDI1MDgxMy4wIKXMDSoASAFQAw%3D%3D</v>
          </cell>
          <cell r="H623">
            <v>114</v>
          </cell>
        </row>
        <row r="624">
          <cell r="D624" t="str">
            <v>79G49CW</v>
          </cell>
          <cell r="E624" t="str">
            <v>SANTA LUCIA</v>
          </cell>
          <cell r="F624" t="str">
            <v>https://maps.app.goo.gl/3aJyrPsVGzT6G5BQA</v>
          </cell>
          <cell r="G624" t="str">
            <v>google.com/maps/dir/Catamarca+Sur,+San+Juan/Escuela+Valle+Del+Tulum,+Hipólito+Yrigoyen+Este+5260,+J5411+San+Juan/Catamarca+Sur,+San+Juan/@-31.5485802,-68.5195504,4937m/data=!3m1!1e3!4m20!4m19!1m5!1m1!1s0x968140269756b7e1:0x3c38eb6d66eb45d!2m2!1d-68.5295918!2d-31.5427459!1m5!1m1!1s0x96816adeb8e824c3:0xefe66b4783b058f9!2m2!1d-68.4677813!2d-31.5542267!1m5!1m1!1s0x968140269756b7e1:0x3c38eb6d66eb45d!2m2!1d-68.5295918!2d-31.5427459!3e0?hl=es&amp;entry=ttu&amp;g_ep=EgoyMDI1MTAwOC4wIKXMDSoASAFQAw%3D%3D</v>
          </cell>
          <cell r="H624">
            <v>15.9</v>
          </cell>
        </row>
        <row r="625">
          <cell r="D625" t="str">
            <v>79G15HT</v>
          </cell>
          <cell r="E625" t="str">
            <v>CAPITAL</v>
          </cell>
          <cell r="F625" t="str">
            <v>https://maps.app.goo.gl/VaoMad7U7tcnMNh3A</v>
          </cell>
          <cell r="G625" t="str">
            <v>https://www.google.com/maps/dir/Catamarca+Sur,+San+Juan/Escuela+Tte.+Pedro+Nolasco+Fonseca,+J5400+San+Juan/Catamarca+Sur,+San+Juan/@-31.5382599,-68.5541493,2469m/data=!3m1!1e3!4m20!4m19!1m5!1m1!1s0x968140269756b7e1:0x3c38eb6d66eb45d!2m2!1d-68.5295918!2d-31.5427459!1m5!1m1!1s0x9681404d2c128917:0x7aa72adc8c61e97b!2m2!1d-68.5579031!2d-31.53311!1m5!1m1!1s0x968140269756b7e1:0x3c38eb6d66eb45d!2m2!1d-68.5295918!2d-31.5427459!3e0?hl=es&amp;entry=ttu&amp;g_ep=EgoyMDI1MTAwOC4wIKXMDSoASAFQAw%3D%3D</v>
          </cell>
          <cell r="H625">
            <v>7.7</v>
          </cell>
        </row>
        <row r="626">
          <cell r="D626" t="str">
            <v>79G2RT3</v>
          </cell>
          <cell r="E626" t="str">
            <v>CAUCETE</v>
          </cell>
          <cell r="F626" t="str">
            <v>https://maps.app.goo.gl/Z22tEGbwyyviKMwG8</v>
          </cell>
          <cell r="G626" t="str">
            <v>google.com/maps/dir/Catamarca+Sur,+San+Juan/Escuela+Lavalle,+Caucete,+San+Juan/Catamarca+Sur,+San+Juan/@-31.5739887,-68.4977594,19742m/data=!3m1!1e3!4m20!4m19!1m5!1m1!1s0x968140269756b7e1:0x3c38eb6d66eb45d!2m2!1d-68.5295918!2d-31.5427459!1m5!1m1!1s0x96810dbeb054b833:0x95e0e61272072639!2m2!1d-68.304679!2d-31.592323!1m5!1m1!1s0x968140269756b7e1:0x3c38eb6d66eb45d!2m2!1d-68.5295918!2d-31.5427459!3e0?hl=es&amp;entry=ttu&amp;g_ep=EgoyMDI1MTAwOC4wIKXMDSoASAFQAw%3D%3D</v>
          </cell>
          <cell r="H626">
            <v>56.6</v>
          </cell>
        </row>
        <row r="627">
          <cell r="D627" t="str">
            <v>79G3BT1</v>
          </cell>
          <cell r="E627" t="str">
            <v>CAUCETE</v>
          </cell>
          <cell r="F627" t="str">
            <v>https://maps.app.goo.gl/cNV98zEJ7zF8sKyH7</v>
          </cell>
          <cell r="G627" t="str">
            <v>https://www.google.com/maps/dir/Catamarca+Sur,+San+Juan/Escuela+Jos%C3%A9+Mar%C3%ADa+De+Los+Rios,+Caucete,+San+Juan/Catamarca+Sur,+San+Juan/@-31.5961013,-68.5481104,39475m/data=!3m1!1e3!4m20!4m19!1m5!1m1!1s0x968140269756b7e1:0x3c38eb6d66eb45d!2m2!1d-68.5295918!2d-31.5427459!1m5!1m1!1s0x968109f128b35e47:0x85c4fe6f1d8dd501!2m2!1d-68.2365122!2d-31.6409885!1m5!1m1!1s0x968140269756b7e1:0x3c38eb6d66eb45d!2m2!1d-68.5295918!2d-31.5427459!3e0?hl=es&amp;entry=ttu&amp;g_ep=EgoyMDI1MTAwOC4wIKXMDSoASAFQAw%3D%3D</v>
          </cell>
          <cell r="H627">
            <v>68.8</v>
          </cell>
        </row>
        <row r="628">
          <cell r="D628" t="str">
            <v>79G49CY</v>
          </cell>
          <cell r="E628" t="str">
            <v>RIVADAVIA</v>
          </cell>
          <cell r="F628" t="str">
            <v>https://maps.app.goo.gl/tpzdnt4xtv4Jt3uj9</v>
          </cell>
          <cell r="G628" t="str">
            <v>https://www.google.com/maps/dir/Catamarca+Sur,+San+Juan/Escuela+Diogenes+Perramon+Matriz,+Rivadavia,+San+Juan/Catamarca+Sur,+San+Juan/@-31.5561218,-68.6133619,9873m/data=!3m1!1e3!4m20!4m19!1m5!1m1!1s0x968140269756b7e1:0x3c38eb6d66eb45d!2m2!1d-68.5295918!2d-31.5427459!1m5!1m1!1s0x968140ce351b46dd:0xa7705cc9ebb16141!2m2!1d-68.6112879!2d-31.5543924!1m5!1m1!1s0x968140269756b7e1:0x3c38eb6d66eb45d!2m2!1d-68.5295918!2d-31.5427459!3e0?hl=es&amp;entry=ttu&amp;g_ep=EgoyMDI1MTAwOC4wIKXMDSoASAFQAw%3D%3D</v>
          </cell>
          <cell r="H628">
            <v>21.3</v>
          </cell>
        </row>
        <row r="629">
          <cell r="D629" t="str">
            <v>793H5HW</v>
          </cell>
          <cell r="E629">
            <v>45802</v>
          </cell>
          <cell r="F629" t="str">
            <v>https://maps.app.goo.gl/yXFgUmUmY5HjJyya7</v>
          </cell>
          <cell r="G629" t="str">
            <v>https://www.google.com/maps/dir/Catamarca+Sur,+San+Juan/Escuela+Comodoro+Rivadavia,+calle+3+s%2Fn+La+plata+dep,+San+Juan/Catamarca+Sur,+San+Juan/@-31.6356972,-68.6024095,39459m/data=!3m1!1e3!4m20!4m19!1m5!1m1!1s0x968140269756b7e1:0x3c38eb6d66eb45d!2m2!1d-68.5295918!2d-31.5427459!1m5!1m1!1s0x96811b16604677ff:0x8a7d2e5d84151f90!2m2!1d-68.3451627!2d-31.7308165!1m5!1m1!1s0x968140269756b7e1:0x3c38eb6d66eb45d!2m2!1d-68.5295918!2d-31.5427459!3e0?hl=es&amp;entry=ttu&amp;g_ep=EgoyMDI1MTAwOC4wIKXMDSoASAFQAw%3D%3D</v>
          </cell>
          <cell r="H629">
            <v>62.5</v>
          </cell>
        </row>
        <row r="630">
          <cell r="D630" t="str">
            <v>79G3Z77</v>
          </cell>
          <cell r="E630">
            <v>45802</v>
          </cell>
          <cell r="F630" t="str">
            <v>https://maps.app.goo.gl/yXFgUmUmY5HjJyya7</v>
          </cell>
          <cell r="G630" t="str">
            <v>https://www.google.com/maps/dir/Catamarca+Sur,+San+Juan/Escuela+Comodoro+Rivadavia,+calle+3+s%2Fn+La+plata+dep,+San+Juan/Catamarca+Sur,+San+Juan/@-31.6356972,-68.6024095,39459m/data=!3m1!1e3!4m20!4m19!1m5!1m1!1s0x968140269756b7e1:0x3c38eb6d66eb45d!2m2!1d-68.5295918!2d-31.5427459!1m5!1m1!1s0x96811b16604677ff:0x8a7d2e5d84151f90!2m2!1d-68.3451627!2d-31.7308165!1m5!1m1!1s0x968140269756b7e1:0x3c38eb6d66eb45d!2m2!1d-68.5295918!2d-31.5427459!3e0?hl=es&amp;entry=ttu&amp;g_ep=EgoyMDI1MTAwOC4wIKXMDSoASAFQAw%3D%3D</v>
          </cell>
          <cell r="H630">
            <v>62.5</v>
          </cell>
        </row>
        <row r="631">
          <cell r="D631" t="str">
            <v>793G5F3</v>
          </cell>
          <cell r="E631" t="str">
            <v>IGLESIA</v>
          </cell>
          <cell r="F631" t="str">
            <v>https://maps.google.com/maps?q=-30.3907663%2C-69.2105&amp;z=17&amp;hl=es</v>
          </cell>
          <cell r="G631" t="str">
            <v>https://www.google.com/maps/dir/Catamarca+Sur+664,+San+Juan/Escuela+Manuel+Alberti,+Iglesia,+San+Juan/Catamarca+Sur+664,+San+Juan/@-30.9701133,-69.516562,158953m/data=!3m2!1e3!4b1!4m20!4m19!1m5!1m1!1s0x9681402690dd76eb:0x4b283f8fe10ce3f3!2m2!1d-68.5293623!2d-31.542635!1m5!1m1!1s0x968493767a1183a7:0xfb8e128dd04d0c51!2m2!1d-69.2106934!2d-30.390912!1m5!1m1!1s0x9681402690dd76eb:0x4b283f8fe10ce3f3!2m2!1d-68.5293623!2d-31.542635!3e0?hl=es&amp;entry=ttu&amp;g_ep=EgoyMDI1MTAyOS4yIKXMDSoASAFQAw%3D%3D</v>
          </cell>
          <cell r="H631">
            <v>342</v>
          </cell>
        </row>
        <row r="632">
          <cell r="D632" t="str">
            <v>79G132D</v>
          </cell>
          <cell r="E632" t="str">
            <v>IGLESIA</v>
          </cell>
          <cell r="F632" t="str">
            <v>https://maps.google.com/maps?q=-30.3086401%2C-69.2195389&amp;z=17&amp;hl=es</v>
          </cell>
          <cell r="G632" t="str">
            <v>https://www.google.com/maps/dir/Catamarca+Sur+664,+San+Juan/Escuela+Cacique+Pismanta,+Iglesia,+San+Juan/Catamarca+Sur+664,+San+Juan/@-30.9288234,-69.5248649,159022m/data=!3m2!1e3!4b1!4m20!4m19!1m5!1m1!1s0x9681402690dd76eb:0x4b283f8fe10ce3f3!2m2!1d-68.5293623!2d-31.542635!1m5!1m1!1s0x968495959c983e1f:0x1c1923d6acd997cd!2m2!1d-69.2195434!2d-30.3085986!1m5!1m1!1s0x9681402690dd76eb:0x4b283f8fe10ce3f3!2m2!1d-68.5293623!2d-31.542635!3e0?hl=es&amp;entry=ttu&amp;g_ep=EgoyMDI1MTAyOS4yIKXMDSoASAFQAw%3D%3D</v>
          </cell>
          <cell r="H632">
            <v>368</v>
          </cell>
        </row>
        <row r="633">
          <cell r="D633" t="str">
            <v>793H5K8</v>
          </cell>
          <cell r="E633" t="str">
            <v>VALLE FERTIL</v>
          </cell>
          <cell r="F633" t="str">
            <v>https://maps.app.goo.gl/jk7845jW8883NdTQ8</v>
          </cell>
          <cell r="G633" t="str">
            <v>https://www.google.com/maps/dir/Catamarca+Sur+664,+San+Juan/Escuela+Baldomero+Fernandez+Moreno,+Chucuma,+San+Juan/Catamarca+Sur+664,+San+Juan/@-31.4142004,-68.4836977,158209m/data=!3m2!1e3!4b1!4m20!4m19!1m5!1m1!1s0x9681402690dd76eb:0x4b283f8fe10ce3f3!2m2!1d-68.5293623!2d-31.542635!1m5!1m1!1s0x942a1b850cd9b845:0x7cdec112235288c3!2m2!1d-67.1175986!2d-31.0743492!1m5!1m1!1s0x9681402690dd76eb:0x4b283f8fe10ce3f3!2m2!1d-68.5293623!2d-31.542635!3e0?entry=ttu&amp;g_ep=EgoyMDI1MTAyOS4yIKXMDSoASAFQAw%3D%3D</v>
          </cell>
          <cell r="H633">
            <v>396</v>
          </cell>
        </row>
        <row r="634">
          <cell r="D634" t="str">
            <v>793H5FP</v>
          </cell>
          <cell r="E634" t="str">
            <v>VALLE FERTIL</v>
          </cell>
          <cell r="F634" t="str">
            <v>https://maps.google.com/maps?q=-30.7665756%2C-67.4744075&amp;z=17&amp;hl=es</v>
          </cell>
          <cell r="G634" t="str">
            <v>https://www.google.com/maps/dir/Catamarca+Sur+664,+San+Juan/-30.7665756,-67.4744075/Catamarca+Sur+664,+San+Juan/@-31.2320989,-68.5303569,158515m/data=!3m2!1e3!4b1!4m15!4m14!1m5!1m1!1s0x9681402690dd76eb:0x4b283f8fe10ce3f3!2m2!1d-68.5293623!2d-31.542635!1m0!1m5!1m1!1s0x9681402690dd76eb:0x4b283f8fe10ce3f3!2m2!1d-68.5293623!2d-31.542635!3e0?hl=es&amp;entry=ttu&amp;g_ep=EgoyMDI1MTAyOS4yIKXMDSoASAFQAw%3D%3D</v>
          </cell>
          <cell r="H634">
            <v>505</v>
          </cell>
        </row>
        <row r="635">
          <cell r="D635" t="str">
            <v>79G130G</v>
          </cell>
          <cell r="E635" t="str">
            <v>VALLE FERTIL</v>
          </cell>
          <cell r="F635" t="str">
            <v>https://maps.google.com/maps?q=-30.3219952%2C-67.6966828&amp;z=17&amp;hl=es</v>
          </cell>
          <cell r="G635" t="str">
            <v>google.com/maps/dir/Catamarca+Sur+664,+San+Juan/Escuela+José+Ignacio+Fernandez+de+Maradona,+RP510,+Balde+del+Rosario,+San+Juan/Catamarca+Sur+664,+San+Juan/@-30.8860744,-69.3971626,318185m/data=!3m1!1e3!4m20!4m19!1m5!1m1!1s0x9681402690dd76eb:0x4b283f8fe10ce3f3!2m2!1d-68.5293623!2d-31.542635!1m5!1m1!1s0x96828b14568b5025:0xbf7244fc768ed9ed!2m2!1d-67.6969149!2d-30.3220776!1m5!1m1!1s0x9681402690dd76eb:0x4b283f8fe10ce3f3!2m2!1d-68.5293623!2d-31.542635!3e0?hl=es&amp;entry=ttu&amp;g_ep=EgoyMDI1MTAyOS4yIKXMDSoASAFQAw%3D%3D</v>
          </cell>
          <cell r="H635">
            <v>592</v>
          </cell>
        </row>
        <row r="636">
          <cell r="D636" t="str">
            <v>79G1DWK</v>
          </cell>
          <cell r="E636" t="str">
            <v>SARMIENTO</v>
          </cell>
          <cell r="F636" t="str">
            <v>https://maps.google.com/maps?q=-32.0633083%2C-68.5894833&amp;z=17&amp;hl=es</v>
          </cell>
          <cell r="G636" t="str">
            <v>https://www.google.com/maps/dir/Catamarca+Sur+664,+San+Juan/Escuela+Olegario+V.+Andrade,+Guanacache,+San+Juan/Catamarca+Sur+664,+San+Juan/@-31.8043182,-68.8468319,78774m/data=!3m2!1e3!4b1!4m20!4m19!1m5!1m1!1s0x9681402690dd76eb:0x4b283f8fe10ce3f3!2m2!1d-68.5293623!2d-31.542635!1m5!1m1!1s0x9680dcf6a07e0f3b:0x7de8fe3091025206!2m2!1d-68.5903492!2d-32.0639754!1m5!1m1!1s0x9681402690dd76eb:0x4b283f8fe10ce3f3!2m2!1d-68.5293623!2d-31.542635!3e0?hl=es&amp;entry=ttu&amp;g_ep=EgoyMDI1MTAyOS4yIKXMDSoASAFQAw%3D%3D</v>
          </cell>
          <cell r="H636">
            <v>154</v>
          </cell>
        </row>
        <row r="637">
          <cell r="D637" t="str">
            <v>79G2RY9</v>
          </cell>
          <cell r="E637" t="str">
            <v>SARMIENTO</v>
          </cell>
          <cell r="F637" t="str">
            <v>https://maps.google.com/maps?q=-32.0598655%2C-68.429804&amp;z=17&amp;hl=es</v>
          </cell>
          <cell r="G637" t="str">
            <v>https://www.google.com/maps/dir/Catamarca+Sur+664,+San+Juan/Escuela+Jose+Maria+Del+Carril,+de+ruta+Nro+40+y+al+este+3000+mts+aproximadamente.,+Tres+Esquinas,+San+Juan/Catamarca+Sur+664,+San+Juan/@-31.7997157,-68.8251609,78778m/data=!3m1!1e3!4m20!4m19!1m5!1m1!1s0x9681402690dd76eb:0x4b283f8fe10ce3f3!2m2!1d-68.5293623!2d-31.542635!1m5!1m1!1s0x9680e609c35a2653:0x79f02d898f7db9ec!2m2!1d-68.4301214!2d-32.0600819!1m5!1m1!1s0x9681402690dd76eb:0x4b283f8fe10ce3f3!2m2!1d-68.5293623!2d-31.542635!3e0?hl=es&amp;entry=ttu&amp;g_ep=EgoyMDI1MTAyOS4yIKXMDSoASAFQAw%3D%3D</v>
          </cell>
          <cell r="H637">
            <v>129</v>
          </cell>
        </row>
        <row r="638">
          <cell r="D638" t="str">
            <v>79G2T3V</v>
          </cell>
          <cell r="E638" t="str">
            <v>RIVADAVIA</v>
          </cell>
          <cell r="F638" t="str">
            <v>https://maps.google.com/maps?q=-31.5465548%2C-68.6252932&amp;z=17&amp;hl=es</v>
          </cell>
          <cell r="G638" t="str">
            <v>https://www.google.com/maps/dir/Catamarca+Sur+664,+San+Juan/Escuela+Barrio+Nuevo+Cuyo,+J5407+Rivadavia,+San+Juan/Catamarca+Sur+664,+San+Juan/@-31.5449687,-68.6168017,9874m/data=!3m1!1e3!4m20!4m19!1m5!1m1!1s0x9681402690dd76eb:0x4b283f8fe10ce3f3!2m2!1d-68.5293623!2d-31.542635!1m5!1m1!1s0x9681472a3048f60f:0xf636a1e0f2f328e1!2m2!1d-68.6254823!2d-31.546363!1m5!1m1!1s0x9681402690dd76eb:0x4b283f8fe10ce3f3!2m2!1d-68.5293623!2d-31.542635!3e0?hl=es&amp;entry=ttu&amp;g_ep=EgoyMDI1MTAyOS4yIKXMDSoASAFQAw%3D%3D</v>
          </cell>
          <cell r="H638">
            <v>21</v>
          </cell>
        </row>
        <row r="639">
          <cell r="D639" t="str">
            <v>79G4P0G</v>
          </cell>
          <cell r="E639" t="str">
            <v>CALINGASTA</v>
          </cell>
          <cell r="F639" t="str">
            <v>https://maps.google.com/maps?q=-31.428195%2C-69.4079235&amp;z=17&amp;hl=es</v>
          </cell>
          <cell r="G639" t="str">
            <v>https://www.google.com/maps/dir/Catamarca+Sur+664,+San+Juan/Escuela+12+de+Octubre,+RN149,+Colon,+San+Juan/Catamarca+Sur+664,+San+Juan/@-31.2658014,-69.2931249,79229m/data=!3m1!1e3!4m20!4m19!1m5!1m1!1s0x9681402690dd76eb:0x4b283f8fe10ce3f3!2m2!1d-68.5293623!2d-31.542635!1m5!1m1!1s0x96869dd9ffb27b91:0x42e3e4b8fa1ebb67!2m2!1d-69.4079992!2d-31.428125!1m5!1m1!1s0x9681402690dd76eb:0x4b283f8fe10ce3f3!2m2!1d-68.5293623!2d-31.542635!3e0?hl=es&amp;entry=ttu&amp;g_ep=EgoyMDI1MTAyOS4yIKXMDSoASAFQAw%3D%3D</v>
          </cell>
          <cell r="H639">
            <v>372</v>
          </cell>
        </row>
        <row r="640">
          <cell r="D640" t="str">
            <v>79G1DRT</v>
          </cell>
          <cell r="E640" t="str">
            <v>CALINGASTA</v>
          </cell>
          <cell r="F640" t="str">
            <v>https://maps.google.com/maps?q=-31.6225777%2C-69.4656418&amp;z=17&amp;hl=es</v>
          </cell>
          <cell r="G640" t="str">
            <v>google.com/maps/dir/Catamarca+Sur+664,+San+Juan/Escuela+Martín+Gil,+RN149,+Barreal,+San+Juan/Catamarca+Sur+664,+San+Juan/@-31.3029419,-69.3169501,79198m/data=!3m1!1e3!4m20!4m19!1m5!1m1!1s0x9681402690dd76eb:0x4b283f8fe10ce3f3!2m2!1d-68.5293623!2d-31.542635!1m5!1m1!1s0x968691adf26895e1:0xe0180ed349374854!2m2!1d-69.4658314!2d-31.6225004!1m5!1m1!1s0x9681402690dd76eb:0x4b283f8fe10ce3f3!2m2!1d-68.5293623!2d-31.542635!3e0?hl=es&amp;entry=ttu&amp;g_ep=EgoyMDI1MTAyOS4yIKXMDSoASAFQAw%3D%3D</v>
          </cell>
          <cell r="H640">
            <v>420</v>
          </cell>
        </row>
        <row r="641">
          <cell r="D641" t="str">
            <v>79G49D5</v>
          </cell>
          <cell r="E641">
            <v>45802</v>
          </cell>
          <cell r="F641" t="str">
            <v>https://maps.app.goo.gl/66TwaRvU9NVoTzxo7</v>
          </cell>
          <cell r="G641" t="str">
            <v>https://www.google.com/maps/dir/Catamarca+Sur+664,+San+Juan/Escuela+Segundino+J.+Navarro,+J5452+Villa+Santa+Rosa,+San+Juan/Catamarca+Sur+664,+San+Juan/@-31.6417922,-68.584671,39456m/data=!3m2!1e3!4b1!4m20!4m19!1m5!1m1!1s0x9681402690dd76eb:0x4b283f8fe10ce3f3!2m2!1d-68.5293623!2d-31.542635!1m5!1m1!1s0x96810523b1d1586f:0x5d7edaa467960a57!2m2!1d-68.3135955!2d-31.7430561!1m5!1m1!1s0x9681402690dd76eb:0x4b283f8fe10ce3f3!2m2!1d-68.5293623!2d-31.542635!3e0?entry=ttu&amp;g_ep=EgoyMDI1MTAyOS4yIKXMDSoASAFQAw%3D%3D</v>
          </cell>
          <cell r="H641">
            <v>72.8</v>
          </cell>
        </row>
        <row r="642">
          <cell r="D642" t="str">
            <v>793G5BH</v>
          </cell>
          <cell r="E642" t="str">
            <v>POCITO</v>
          </cell>
          <cell r="F642" t="str">
            <v>https://maps.google.com/maps?q=-31.7651423%2C-68.5647147&amp;z=17&amp;hl=es</v>
          </cell>
          <cell r="G642" t="str">
            <v>https://www.google.com/maps/dir/Catamarca+Sur+664,+San+Juan/ESCUELA+MAESTRO+ARGENTINO,+Pocito,+San+Juan/Catamarca+Sur+664,+San+Juan/@-31.6529799,-68.7086872,39451m/data=!3m1!1e3!4m20!4m19!1m5!1m1!1s0x9681402690dd76eb:0x4b283f8fe10ce3f3!2m2!1d-68.5293623!2d-31.542635!1m5!1m1!1s0x968122dbb4913957:0xa2bac92bab48da39!2m2!1d-68.5646605!2d-31.7650701!1m5!1m1!1s0x9681402690dd76eb:0x4b283f8fe10ce3f3!2m2!1d-68.5293623!2d-31.542635!3e0?hl=es&amp;entry=ttu&amp;g_ep=EgoyMDI1MTAyOS4yIKXMDSoASAFQAw%3D%3D</v>
          </cell>
          <cell r="H642">
            <v>56.9</v>
          </cell>
        </row>
        <row r="643">
          <cell r="D643" t="str">
            <v>79G3HV0</v>
          </cell>
          <cell r="E643" t="str">
            <v>ALBARDON</v>
          </cell>
          <cell r="F643" t="str">
            <v>https://maps.google.com/maps?q=-31.3935507%2C-68.4855987&amp;z=17&amp;hl=es</v>
          </cell>
          <cell r="G643" t="str">
            <v>google.com/maps/dir/Catamarca+Sur+664,+San+Juan/Escuela+Regimientos+De+Los+Patricios,+Albardón,+San+Juan/Catamarca+Sur+664,+San+Juan/@-31.4680497,-68.5920375,19765m/data=!3m1!1e3!4m20!4m19!1m5!1m1!1s0x9681402690dd76eb:0x4b283f8fe10ce3f3!2m2!1d-68.5293623!2d-31.542635!1m5!1m1!1s0x9681687973275677:0x9f661bba693f96d9!2m2!1d-68.4853214!2d-31.3936555!1m5!1m1!1s0x9681402690dd76eb:0x4b283f8fe10ce3f3!2m2!1d-68.5293623!2d-31.542635!3e0?hl=es&amp;entry=ttu&amp;g_ep=EgoyMDI1MTAyOS4yIKXMDSoASAFQAw%3D%3D</v>
          </cell>
          <cell r="H643">
            <v>41.2</v>
          </cell>
        </row>
        <row r="644">
          <cell r="D644" t="str">
            <v>79G3HV0</v>
          </cell>
          <cell r="E644" t="str">
            <v>ALBARDON</v>
          </cell>
          <cell r="F644" t="str">
            <v>https://maps.google.com/maps?q=-31.3935507%2C-68.4855987&amp;z=17&amp;hl=es</v>
          </cell>
          <cell r="G644" t="str">
            <v>google.com/maps/dir/Catamarca+Sur+664,+San+Juan/Escuela+Regimientos+De+Los+Patricios,+Albardón,+San+Juan/Catamarca+Sur+664,+San+Juan/@-31.4680497,-68.5920375,19765m/data=!3m1!1e3!4m20!4m19!1m5!1m1!1s0x9681402690dd76eb:0x4b283f8fe10ce3f3!2m2!1d-68.5293623!2d-31.542635!1m5!1m1!1s0x9681687973275677:0x9f661bba693f96d9!2m2!1d-68.4853214!2d-31.3936555!1m5!1m1!1s0x9681402690dd76eb:0x4b283f8fe10ce3f3!2m2!1d-68.5293623!2d-31.542635!3e0?hl=es&amp;entry=ttu&amp;g_ep=EgoyMDI1MTAyOS4yIKXMDSoASAFQAw%3D%3D</v>
          </cell>
          <cell r="H644">
            <v>41.2</v>
          </cell>
        </row>
        <row r="645">
          <cell r="D645" t="str">
            <v>79G4G4D</v>
          </cell>
          <cell r="E645">
            <v>45802</v>
          </cell>
          <cell r="F645" t="str">
            <v>https://maps.google.com/maps?q=-32.2949377%2C-67.280947&amp;z=17&amp;hl=es</v>
          </cell>
          <cell r="G645" t="str">
            <v>https://www.google.com/maps/dir/Catamarca+Sur,+San+Juan/-32.2949377,-67.280947/Catamarca+Sur,+San+Juan/@-31.9270401,-68.5648106,157338m/data=!3m1!1e3!4m15!4m14!1m5!1m1!1s0x968140269756b7e1:0x3c38eb6d66eb45d!2m2!1d-68.5295918!2d-31.5427459!1m0!1m5!1m1!1s0x968140269756b7e1:0x3c38eb6d66eb45d!2m2!1d-68.5295918!2d-31.5427459!3e0?hl=es&amp;entry=ttu&amp;g_ep=EgoyMDI1MTIwOS4wIKXMDSoASAFQAw%3D%3D</v>
          </cell>
          <cell r="H645">
            <v>334</v>
          </cell>
        </row>
        <row r="646">
          <cell r="D646" t="str">
            <v>79G3Z4K</v>
          </cell>
          <cell r="E646">
            <v>45847</v>
          </cell>
          <cell r="F646" t="str">
            <v>https://maps.app.goo.gl/Wt83HLYXcPEejC8G6</v>
          </cell>
          <cell r="G646" t="str">
            <v>https://www.google.com/maps/dir/Catamarca+Sur,+San+Juan/Escuela+Agrotecnica+Ana+Perez+Ciani,+s%2Fn,+Valent%C3%ADn+Videla,+San+Juan/Catamarca+Sur,+San+Juan/@-31.601368,-68.5381102,19737m/data=!3m2!1e3!4b1!4m20!4m19!1m5!1m1!1s0x968140269756b7e1:0x3c38eb6d66eb45d!2m2!1d-68.5295918!2d-31.5427459!1m5!1m1!1s0x96811109c6b4e325:0x573a4602c7ea89bc!2m2!1d-68.3810847!2d-31.6615414!1m5!1m1!1s0x968140269756b7e1:0x3c38eb6d66eb45d!2m2!1d-68.5295918!2d-31.5427459!3e0?hl=es&amp;entry=ttu&amp;g_ep=EgoyMDI1MTIwOS4wIKXMDSoASAFQAw%3D%3D</v>
          </cell>
          <cell r="H646">
            <v>48.5</v>
          </cell>
        </row>
        <row r="647">
          <cell r="D647" t="str">
            <v>79G321L</v>
          </cell>
          <cell r="E647" t="str">
            <v>SANTA LUCIA</v>
          </cell>
          <cell r="F647" t="str">
            <v>https://maps.app.goo.gl/aJTqxtT1y1MrF9jy8</v>
          </cell>
          <cell r="G647" t="str">
            <v>https://www.google.com/maps/dir/Catamarca+Sur,+San+Juan/Colegio+Provincial+de+Santa+Luc%C3%ADa,+s%2Fn,+Las+Piedritas,+(5411+Calle+4+de+Diciembre,+C.+Pedro+Echag%C3%BCe+Este+y,+J5411+Santa+Luc%C3%ADa,+San+Juan/Catamarca+Sur,+San+Juan/@-31.5358312,-68.524497,2469m/data=!3m2!1e3!4b1!4m20!4m19!1m5!1m1!1s0x968140269756b7e1:0x3c38eb6d66eb45d!2m2!1d-68.5295918!2d-31.5427459!1m5!1m1!1s0x96816af365201e01:0xce22b0f4554ca4a2!2m2!1d-68.4986909!2d-31.5286064!1m5!1m1!1s0x968140269756b7e1:0x3c38eb6d66eb45d!2m2!1d-68.5295918!2d-31.5427459!3e0?hl=es&amp;entry=ttu&amp;g_ep=EgoyMDI1MTIwOS4wIKXMDSoASAFQAw%3D%3D</v>
          </cell>
          <cell r="H647">
            <v>8.8000000000000007</v>
          </cell>
        </row>
        <row r="648">
          <cell r="D648" t="str">
            <v>79G32GC</v>
          </cell>
          <cell r="E648">
            <v>45802</v>
          </cell>
          <cell r="F648" t="str">
            <v>https://maps.app.goo.gl/UJfYNv3LHhJSpUBf9</v>
          </cell>
          <cell r="G648" t="str">
            <v>google.com/maps/dir/Catamarca+Sur,+San+Juan/Escuela+Martin+Yanzon,+RP259,+San+Juan/Catamarca+Sur,+San+Juan/@-31.6490872,-68.5544601,39453m/data=!3m1!1e3!4m20!4m19!1m5!1m1!1s0x968140269756b7e1:0x3c38eb6d66eb45d!2m2!1d-68.5295918!2d-31.5427459!1m5!1m1!1s0x968104225e2f08ad:0xb46cf965e83edd7f!2m2!1d-68.2490734!2d-31.7586138!1m5!1m1!1s0x968140269756b7e1:0x3c38eb6d66eb45d!2m2!1d-68.5295918!2d-31.5427459!3e0?hl=es&amp;entry=ttu&amp;g_ep=EgoyMDI1MTIwOS4wIKXMDSoASAFQAw%3D%3D</v>
          </cell>
          <cell r="H648">
            <v>86.1</v>
          </cell>
        </row>
        <row r="649">
          <cell r="D649" t="str">
            <v>79G15LW</v>
          </cell>
          <cell r="E649" t="str">
            <v>albardon</v>
          </cell>
          <cell r="F649" t="str">
            <v>https://maps.app.goo.gl/7CbToKiZG2Cm6aQw8</v>
          </cell>
          <cell r="G649" t="str">
            <v>https://www.google.com/maps/dir/Catamarca+Sur,+San+Juan/Escuela+Juan+Gregorio+de+Las+Heras,+Albard%C3%B3n,+San+Juan/Catamarca+Sur,+San+Juan/@-31.4610336,-68.6524591,39532m/data=!3m2!1e3!4b1!4m20!4m19!1m5!1m1!1s0x968140269756b7e1:0x3c38eb6d66eb45d!2m2!1d-68.5295918!2d-31.5427459!1m5!1m1!1s0x9681660e4b4f1e4d:0x61d65c0cc4ca4d66!2m2!1d-68.4395361!2d-31.3678776!1m5!1m1!1s0x968140269756b7e1:0x3c38eb6d66eb45d!2m2!1d-68.5295918!2d-31.5427459!3e0?hl=es&amp;entry=ttu&amp;g_ep=EgoyMDI1MTIwOS4wIKXMDSoASAFQAw%3D%3D</v>
          </cell>
          <cell r="H649">
            <v>55.6</v>
          </cell>
        </row>
        <row r="650">
          <cell r="D650" t="str">
            <v>79G3LN3</v>
          </cell>
          <cell r="E650" t="str">
            <v>CIENAGUITA</v>
          </cell>
          <cell r="F650" t="str">
            <v>https://maps.app.goo.gl/jiPSGNED1yN8KSfy7</v>
          </cell>
          <cell r="G650" t="str">
            <v>google.com/maps/dir/Catamarca+Sur,+San+Juan/Escuela+Profesor+Alejandro+Mathus,+RP351,+Cienaguita,+San+Juan/Catamarca+Sur,+San+Juan/@-31.808341,-68.9034218,78770m/data=!3m1!1e3!4m20!4m19!1m5!1m1!1s0x968140269756b7e1:0x3c38eb6d66eb45d!2m2!1d-68.5295918!2d-31.5427459!1m5!1m1!1s0x9680da6005772915:0x5c63abfac47762ce!2m2!1d-68.6922969!2d-32.0773785!1m5!1m1!1s0x968140269756b7e1:0x3c38eb6d66eb45d!2m2!1d-68.5295918!2d-31.5427459!3e0?hl=es&amp;entry=ttu&amp;g_ep=EgoyMDI1MTIwOS4wIKXMDSoASAFQAw%3D%3D</v>
          </cell>
          <cell r="H650">
            <v>187</v>
          </cell>
        </row>
        <row r="651">
          <cell r="D651" t="str">
            <v>79G1C0B</v>
          </cell>
          <cell r="E651" t="str">
            <v>ESTACION COCHAGUAL</v>
          </cell>
          <cell r="F651" t="str">
            <v>https://maps.app.goo.gl/XQ9uw6s3CYfohZbM6</v>
          </cell>
          <cell r="G651" t="str">
            <v>google.com/maps/dir/Catamarca+Sur,+San+Juan/Carlos+Guido+Spano,+A.r.+Bufano,+Estacion,+Cochagua,+San+Juan/Catamarca+Sur,+San+Juan/@-31.7624384,-68.7822039,78809m/data=!3m1!1e3!4m20!4m19!1m5!1m1!1s0x968140269756b7e1:0x3c38eb6d66eb45d!2m2!1d-68.5295918!2d-31.5427459!1m5!1m1!1s0x9680e3c5a47d082b:0x48ab3c3ce0a44e4e!2m2!1d-68.3650997!2d-31.9659954!1m5!1m1!1s0x968140269756b7e1:0x3c38eb6d66eb45d!2m2!1d-68.5295918!2d-31.5427459!3e0?hl=es&amp;entry=ttu&amp;g_ep=EgoyMDI1MTIwOS4wIKXMDSoASAFQAw%3D%3D</v>
          </cell>
          <cell r="H651">
            <v>125</v>
          </cell>
        </row>
        <row r="652">
          <cell r="D652" t="str">
            <v>79G15M1</v>
          </cell>
          <cell r="E652" t="str">
            <v>ESTACION COCHAGUAL</v>
          </cell>
          <cell r="F652" t="str">
            <v>https://maps.app.goo.gl/cUTrHU8rqMQGPBSf7</v>
          </cell>
          <cell r="G652" t="str">
            <v>https://www.google.com/maps/dir/Catamarca+Sur,+San+Juan/Escuela+Constancio+C.+Vigil,+Nicol%C3%A1s+Avellaneda,+San+Juan/Catamarca+Sur,+San+Juan/@-31.7524714,-68.7710774,78818m/data=!3m1!1e3!4m20!4m19!1m5!1m1!1s0x968140269756b7e1:0x3c38eb6d66eb45d!2m2!1d-68.5295918!2d-31.5427459!1m5!1m1!1s0x9680fd001e7335d5:0xe06e8b3f115d9a41!2m2!1d-68.3222015!2d-31.9656063!1m5!1m1!1s0x968140269756b7e1:0x3c38eb6d66eb45d!2m2!1d-68.5295918!2d-31.5427459!3e0?hl=es&amp;entry=ttu&amp;g_ep=EgoyMDI1MTIwOS4wIKXMDSoASAFQAw%3D%3D</v>
          </cell>
          <cell r="H652">
            <v>131</v>
          </cell>
        </row>
        <row r="653">
          <cell r="D653" t="str">
            <v>793PG67</v>
          </cell>
          <cell r="E653" t="str">
            <v>ESTACION COCHAGUAL</v>
          </cell>
          <cell r="F653" t="str">
            <v>https://maps.app.goo.gl/YAJLgvfhGd6k4JuV9</v>
          </cell>
          <cell r="G653" t="str">
            <v>google.com/maps/dir/Catamarca+Sur,+San+Juan/escuela+anacleto+gil+(cochagual),+RP246,+San+Juan/Catamarca+Sur,+San+Juan/@-31.7167241,-68.7772081,78848m/data=!3m1!1e3!4m20!4m19!1m5!1m1!1s0x968140269756b7e1:0x3c38eb6d66eb45d!2m2!1d-68.5295918!2d-31.5427459!1m5!1m1!1s0x96811da1983f5775:0x3cfc4707633aa830!2m2!1d-68.385943!2d-31.8693268!1m5!1m1!1s0x968140269756b7e1:0x3c38eb6d66eb45d!2m2!1d-68.5295918!2d-31.5427459!3e0?hl=es&amp;entry=ttu&amp;g_ep=EgoyMDI1MTIwOS4wIKXMDSoASAFQAw%3D%3D</v>
          </cell>
          <cell r="H653">
            <v>107</v>
          </cell>
        </row>
        <row r="654">
          <cell r="D654" t="str">
            <v>79G15M0</v>
          </cell>
          <cell r="E654" t="str">
            <v>SAN CARLOS</v>
          </cell>
          <cell r="F654" t="str">
            <v>https://maps.app.goo.gl/JH8WTNEFB4ATFX9H6</v>
          </cell>
          <cell r="G654" t="str">
            <v>google.com/maps/dir/Catamarca+Sur,+San+Juan/Juan+José+Larrea,+Au+San+Juan+-+Mendoza,+San+Juan/Catamarca+Sur,+San+Juan/@-31.8207587,-68.8298413,78760m/data=!3m1!1e3!4m20!4m19!1m5!1m1!1s0x968140269756b7e1:0x3c38eb6d66eb45d!2m2!1d-68.5295918!2d-31.5427459!1m5!1m1!1s0x9680e92642fe435b:0xe1d48d0fe3426415!2m2!1d-68.4596432!2d-32.1022098!1m5!1m1!1s0x968140269756b7e1:0x3c38eb6d66eb45d!2m2!1d-68.5295918!2d-31.5427459!3e0?hl=es&amp;entry=ttu&amp;g_ep=EgoyMDI1MTIwOS4wIKXMDSoASAFQAw%3D%3D</v>
          </cell>
          <cell r="H654">
            <v>135</v>
          </cell>
        </row>
        <row r="655">
          <cell r="D655" t="str">
            <v>7945BH3</v>
          </cell>
          <cell r="E655" t="str">
            <v>LA CIENAGA</v>
          </cell>
          <cell r="F655" t="str">
            <v>https://maps.app.goo.gl/EAB41axyhbQ7PvNJ8</v>
          </cell>
          <cell r="G655" t="str">
            <v>google.com/maps/dir/Catamarca+Sur,+San+Juan/Escuela+Onofre+Illanes,+La+Ciénaga,+San+Juan/Catamarca+Sur,+San+Juan/@-30.8381523,-69.9455638,318344m/data=!3m1!1e3!4m20!4m19!1m5!1m1!1s0x968140269756b7e1:0x3c38eb6d66eb45d!2m2!1d-68.5295918!2d-31.5427459!1m5!1m1!1s0x968341b4a7e0aef7:0xfa3d35369bd88c97!2m2!1d-68.5731739!2d-30.151336!1m5!1m1!1s0x968140269756b7e1:0x3c38eb6d66eb45d!2m2!1d-68.5295918!2d-31.5427459!3e0?hl=es&amp;entry=ttu&amp;g_ep=EgoyMDI1MTIwOS4wIKXMDSoASAFQAw%3D%3D</v>
          </cell>
          <cell r="H655">
            <v>366</v>
          </cell>
        </row>
        <row r="656">
          <cell r="D656" t="str">
            <v>79G1CD7</v>
          </cell>
          <cell r="E656" t="str">
            <v>NIQUIVIL</v>
          </cell>
          <cell r="F656" t="str">
            <v>https://maps.app.goo.gl/QU7N6rEr1nFTejB97</v>
          </cell>
          <cell r="G656" t="str">
            <v>google.com/maps/dir/Catamarca+Sur,+San+Juan/Escuela+José+Matías+Zapiola,+Niquivil,+San+Juan/Catamarca+Sur,+San+Juan/@-30.9702881,-69.26316,158953m/data=!3m1!1e3!4m20!4m19!1m5!1m1!1s0x968140269756b7e1:0x3c38eb6d66eb45d!2m2!1d-68.5295918!2d-31.5427459!1m5!1m1!1s0x9683706ae4aae525:0x60ef373ea151a26a!2m2!1d-68.6945325!2d-30.399619!1m5!1m1!1s0x968140269756b7e1:0x3c38eb6d66eb45d!2m2!1d-68.5295918!2d-31.5427459!3e0?hl=es&amp;entry=ttu&amp;g_ep=EgoyMDI1MTIwOS4wIKXMDSoASAFQAw%3D%3D</v>
          </cell>
          <cell r="H656">
            <v>277</v>
          </cell>
        </row>
        <row r="657">
          <cell r="D657" t="str">
            <v>79G12Z4</v>
          </cell>
          <cell r="E657" t="str">
            <v>PAMPA DEL CHAÑAR</v>
          </cell>
          <cell r="F657" t="str">
            <v>https://maps.app.goo.gl/gi3L3ai9N5W4EP1K8</v>
          </cell>
          <cell r="G657" t="str">
            <v>google.com/maps/dir/Catamarca+Sur,+San+Juan/Escuela+Agustín+Gomez,+Pampa+del+Chañar,+San+Juan/Catamarca+Sur,+San+Juan/@-30.8553881,-69.9454102,318287m/data=!3m1!1e3!4m20!4m19!1m5!1m1!1s0x968140269756b7e1:0x3c38eb6d66eb45d!2m2!1d-68.5295918!2d-31.5427459!1m5!1m1!1s0x968343a064f2d975:0x4a3cbf6c3dff3475!2m2!1d-68.6797063!2d-30.1818967!1m5!1m1!1s0x968140269756b7e1:0x3c38eb6d66eb45d!2m2!1d-68.5295918!2d-31.5427459!3e0?hl=es&amp;entry=ttu&amp;g_ep=EgoyMDI1MTIwOS4wIKXMDSoASAFQAw%3D%3D</v>
          </cell>
          <cell r="H657">
            <v>340</v>
          </cell>
        </row>
        <row r="658">
          <cell r="D658" t="str">
            <v>79G3PXX</v>
          </cell>
          <cell r="E658" t="str">
            <v>EL RINCON</v>
          </cell>
          <cell r="F658" t="str">
            <v>https://maps.app.goo.gl/cfMUx81qfXSXGsQh8</v>
          </cell>
          <cell r="G658" t="str">
            <v>google.com/maps/dir/Catamarca+Sur,+San+Juan/Escuela+Juan+Martín+De+Pueyrredón+S,+J5460+San+Jose+de+Jachal,+San+Juan/Catamarca+Sur,+San+Juan/@-30.8957412,-69.2747136,159077m/data=!3m1!1e3!4m20!4m19!1m5!1m1!1s0x968140269756b7e1:0x3c38eb6d66eb45d!2m2!1d-68.5295918!2d-31.5427459!1m5!1m1!1s0x9683662b13a919db:0x516df3c83f8473ed!2m2!1d-68.719766!2d-30.249592!1m5!1m1!1s0x968140269756b7e1:0x3c38eb6d66eb45d!2m2!1d-68.5295918!2d-31.5427459!3e0?hl=es&amp;entry=ttu&amp;g_ep=EgoyMDI1MTIwOS4wIKXMDSoASAFQAw%3D%3D</v>
          </cell>
          <cell r="H658">
            <v>315</v>
          </cell>
        </row>
        <row r="659">
          <cell r="D659" t="str">
            <v>79G3LF0</v>
          </cell>
          <cell r="E659" t="str">
            <v>ULLUM</v>
          </cell>
          <cell r="F659" t="str">
            <v>https://maps.google.com/maps?q=-31.4625788%2C-68.7357511&amp;z=17&amp;hl=es</v>
          </cell>
          <cell r="G659" t="str">
            <v>https://www.google.com/maps/dir/Catamarca+Sur+664,+San+Juan/E.P.E.T.+N%C2%B0+9+Dr.+Ren%C3%A9+Favaloro,+Ull%C3%BAm,+San+Juan/Catamarca+Sur+664,+San+Juan/@-31.4974587,-68.7149995,19759m/data=!3m2!1e3!4b1!4m20!4m19!1m5!1m1!1s0x9681402690dd76eb:0x4b283f8fe10ce3f3!2m2!1d-68.5293761!2d-31.5426363!1m5!1m1!1s0x96814f96fc5f99e3:0x4221c691b4d8281!2m2!1d-68.7358184!2d-31.4629498!1m5!1m1!1s0x9681402690dd76eb:0x4b283f8fe10ce3f3!2m2!1d-68.5293761!2d-31.5426363!3e0?hl=es&amp;entry=ttu&amp;g_ep=EgoyMDI1MDczMC4wIKXMDSoASAFQAw%3D%3D</v>
          </cell>
          <cell r="H659">
            <v>66.5</v>
          </cell>
        </row>
        <row r="660">
          <cell r="D660" t="str">
            <v>793H5HZ</v>
          </cell>
          <cell r="E660" t="str">
            <v>Caucete</v>
          </cell>
          <cell r="F660" t="str">
            <v>https://maps.app.goo.gl/smXjzet1LPc5d6ks8</v>
          </cell>
          <cell r="G660" t="str">
            <v>google.com/maps/dir/Catamarca+Sur,+San+Juan/Escuela+Pedro+Echagüe,+Nueve+de+Julio,+San+Juan/Catamarca+Sur,+San+Juan/@-31.582907,-68.5023662,19740m/data=!3m1!1e3!4m20!4m19!1m5!1m1!1s0x968140269756b7e1:0x3c38eb6d66eb45d!2m2!1d-68.5295918!2d-31.5427459!1m5!1m1!1s0x96810e0b6db41403:0x17770da403a7d594!2m2!1d-68.3132683!2d-31.6239324!1m5!1m1!1s0x968140269756b7e1:0x3c38eb6d66eb45d!2m2!1d-68.5295918!2d-31.5427459!3e0?hl=es&amp;entry=ttu&amp;g_ep=EgoyMDI1MTIwOS4wIKXMDSoASAFQAw%3D%3D</v>
          </cell>
          <cell r="H660">
            <v>51.6</v>
          </cell>
        </row>
        <row r="661">
          <cell r="D661" t="str">
            <v>793G8FY</v>
          </cell>
          <cell r="E661" t="str">
            <v>Rivadavia</v>
          </cell>
          <cell r="F661" t="str">
            <v>https://maps.google.com/maps?q=-31.5386566%2C-68.5688171&amp;z=17&amp;hl=es</v>
          </cell>
          <cell r="G661" t="str">
            <v>https://www.google.com/maps/dir/Catamarca+Sur+664,+San+Juan/-31.5386566,-68.5688171/@-31.5407282,-68.5690967,4937m/data=!3m2!1e3!4b1!4m9!4m8!1m5!1m1!1s0x9681402690dd76eb:0x4b283f8fe10ce3f3!2m2!1d-68.5293761!2d-31.5426363!1m0!3e0?hl=es&amp;entry=ttu&amp;g_ep=EgoyMDI1MDYxNy4wIKXMDSoASAFQAw%3D%3D</v>
          </cell>
          <cell r="H661">
            <v>9</v>
          </cell>
        </row>
        <row r="662">
          <cell r="D662" t="str">
            <v>79G3R0X</v>
          </cell>
          <cell r="E662" t="str">
            <v>Caucete</v>
          </cell>
          <cell r="F662" t="str">
            <v>https://maps.app.goo.gl/ysmsdvw12Ed2c6io8</v>
          </cell>
          <cell r="G662" t="str">
            <v>https://www.google.com/maps/dir/Catamarca+Sur+664,+San+Juan/Escuela+Republica+Argentina,+Bermejo,+San+Juan/Catamarca+Sur+664,+San+Juan/@-31.6496403,-68.4253929,78905m/data=!3m2!1e3!4b1!4m20!4m19!1m5!1m1!1s0x9681402690dd76eb:0x4b283f8fe10ce3f3!2m2!1d-68.5293761!2d-31.5426363!1m5!1m1!1s0x9681c5f795ca8f3b:0x5d058fe831ecd61d!2m2!1d-67.6605193!2d-31.5890751!1m5!1m1!1s0x9681402690dd76eb:0x4b283f8fe10ce3f3!2m2!1d-68.5293761!2d-31.5426363!3e0?entry=ttu&amp;g_ep=EgoyMDI1MDgxMy4wIKXMDSoASAFQAw%3D%3D</v>
          </cell>
          <cell r="H662">
            <v>207</v>
          </cell>
        </row>
        <row r="663">
          <cell r="D663"/>
          <cell r="E663"/>
          <cell r="F663"/>
          <cell r="G663"/>
          <cell r="H663"/>
        </row>
        <row r="664">
          <cell r="D664" t="str">
            <v>79G3LF0</v>
          </cell>
          <cell r="E664" t="str">
            <v>ULLUM</v>
          </cell>
          <cell r="F664" t="str">
            <v>https://maps.google.com/maps?q=-31.4625788%2C-68.7357511&amp;z=17&amp;hl=es</v>
          </cell>
          <cell r="G664" t="str">
            <v>https://www.google.com/maps/dir/Catamarca+Sur+664,+San+Juan/E.P.E.T.+N%C2%B0+9+Dr.+Ren%C3%A9+Favaloro,+Ull%C3%BAm,+San+Juan/Catamarca+Sur+664,+San+Juan/@-31.4974587,-68.7149995,19759m/data=!3m2!1e3!4b1!4m20!4m19!1m5!1m1!1s0x9681402690dd76eb:0x4b283f8fe10ce3f3!2m2!1d-68.5293761!2d-31.5426363!1m5!1m1!1s0x96814f96fc5f99e3:0x4221c691b4d8281!2m2!1d-68.7358184!2d-31.4629498!1m5!1m1!1s0x9681402690dd76eb:0x4b283f8fe10ce3f3!2m2!1d-68.5293761!2d-31.5426363!3e0?hl=es&amp;entry=ttu&amp;g_ep=EgoyMDI1MDczMC4wIKXMDSoASAFQAw%3D%3D</v>
          </cell>
          <cell r="H664">
            <v>66.5</v>
          </cell>
        </row>
        <row r="665">
          <cell r="D665" t="str">
            <v>79G32GY</v>
          </cell>
          <cell r="E665" t="str">
            <v>Caucete</v>
          </cell>
          <cell r="F665" t="str">
            <v>https://maps.app.goo.gl/smXjzet1LPc5d6ks8</v>
          </cell>
          <cell r="G665" t="str">
            <v>google.com/maps/dir/Catamarca+Sur,+San+Juan/Escuela+Pedro+Echagüe,+Nueve+de+Julio,+San+Juan/Catamarca+Sur,+San+Juan/@-31.582907,-68.5023662,19740m/data=!3m1!1e3!4m20!4m19!1m5!1m1!1s0x968140269756b7e1:0x3c38eb6d66eb45d!2m2!1d-68.5295918!2d-31.5427459!1m5!1m1!1s0x96810e0b6db41403:0x17770da403a7d594!2m2!1d-68.3132683!2d-31.6239324!1m5!1m1!1s0x968140269756b7e1:0x3c38eb6d66eb45d!2m2!1d-68.5295918!2d-31.5427459!3e0?hl=es&amp;entry=ttu&amp;g_ep=EgoyMDI1MTIwOS4wIKXMDSoASAFQAw%3D%3D</v>
          </cell>
          <cell r="H665">
            <v>51.6</v>
          </cell>
        </row>
        <row r="666">
          <cell r="D666" t="str">
            <v>793G8FY</v>
          </cell>
          <cell r="E666" t="str">
            <v>Rivadavia</v>
          </cell>
          <cell r="F666" t="str">
            <v>https://maps.google.com/maps?q=-31.5386566%2C-68.5688171&amp;z=17&amp;hl=es</v>
          </cell>
          <cell r="G666" t="str">
            <v>https://www.google.com/maps/dir/Catamarca+Sur+664,+San+Juan/-31.5386566,-68.5688171/@-31.5407282,-68.5690967,4937m/data=!3m2!1e3!4b1!4m9!4m8!1m5!1m1!1s0x9681402690dd76eb:0x4b283f8fe10ce3f3!2m2!1d-68.5293761!2d-31.5426363!1m0!3e0?hl=es&amp;entry=ttu&amp;g_ep=EgoyMDI1MDYxNy4wIKXMDSoASAFQAw%3D%3D</v>
          </cell>
          <cell r="H666">
            <v>9</v>
          </cell>
        </row>
        <row r="667">
          <cell r="D667" t="str">
            <v>79G3R0X</v>
          </cell>
          <cell r="E667" t="str">
            <v>Caucete</v>
          </cell>
          <cell r="F667" t="str">
            <v>https://maps.app.goo.gl/ysmsdvw12Ed2c6io8</v>
          </cell>
          <cell r="G667" t="str">
            <v>https://www.google.com/maps/dir/Catamarca+Sur+664,+San+Juan/Escuela+Republica+Argentina,+Bermejo,+San+Juan/Catamarca+Sur+664,+San+Juan/@-31.6496403,-68.4253929,78905m/data=!3m2!1e3!4b1!4m20!4m19!1m5!1m1!1s0x9681402690dd76eb:0x4b283f8fe10ce3f3!2m2!1d-68.5293761!2d-31.5426363!1m5!1m1!1s0x9681c5f795ca8f3b:0x5d058fe831ecd61d!2m2!1d-67.6605193!2d-31.5890751!1m5!1m1!1s0x9681402690dd76eb:0x4b283f8fe10ce3f3!2m2!1d-68.5293761!2d-31.5426363!3e0?entry=ttu&amp;g_ep=EgoyMDI1MDgxMy4wIKXMDSoASAFQAw%3D%3D</v>
          </cell>
          <cell r="H667">
            <v>207</v>
          </cell>
        </row>
        <row r="668">
          <cell r="D668" t="str">
            <v>79G32KZ</v>
          </cell>
          <cell r="E668" t="str">
            <v>BALDES DEL NORTE</v>
          </cell>
          <cell r="F668" t="str">
            <v>https://maps.google.com/maps?q=-30.5861737%2C-67.4255174&amp;z=17&amp;hl=es</v>
          </cell>
          <cell r="G668" t="str">
            <v>https://www.google.com/maps/dir/Catamarca+Sur,+J5402+San+Juan/Escuela+Bethsabe+Pelliza+De+Espinoza,+San+Juan/Catamarca+Sur,+J5402+San+Juan/@-31.1701701,-68.5303572,158619m/data=!3m2!1e3!4b1!4m20!4m19!1m5!1m1!1s0x968140269756b7e1:0x3c38eb6d66eb45d!2m2!1d-68.5295918!2d-31.5427459!1m5!1m1!1s0x9682767e455c5161:0x7fad06b1a5c02be6!2m2!1d-67.4257095!2d-30.5862797!1m5!1m1!1s0x968140269756b7e1:0x3c38eb6d66eb45d!2m2!1d-68.5295918!2d-31.5427459!3e0?hl=es&amp;entry=ttu&amp;g_ep=EgoyMDI2MDMwOS4wIKXMDSoASAFQAw%3D%3D</v>
          </cell>
          <cell r="H668">
            <v>522</v>
          </cell>
        </row>
        <row r="669">
          <cell r="D669" t="str">
            <v>ZELLBJFK9000ARM</v>
          </cell>
          <cell r="E669" t="str">
            <v>Valle Fertil</v>
          </cell>
          <cell r="F669"/>
          <cell r="G669"/>
          <cell r="H669"/>
        </row>
        <row r="670">
          <cell r="D670" t="str">
            <v>79G3R0L</v>
          </cell>
          <cell r="E670" t="str">
            <v>CALINGASTA</v>
          </cell>
          <cell r="F670" t="str">
            <v>https://www.google.com/maps/place/Escuela+Luis+Pasteur/@-31.3033654,-69.4131554,155m/data=!3m1!1e3!4m14!1m7!3m6!1s0x9684269408d2f28f:0xb4e31147cc90f3ce!2sEscuela+Luis+Pasteur+E!8m2!3d-31.30323!4d-69.412541!16s%2Fg%2F11y132rlnm!3m5!1s0x96842703cb303c35:0x374a145dc18c190!8m2!3d-31.3029178!4d-69.4125674!16s%2Fg%2F11gjhf8jxd?hl=es&amp;entry=ttu&amp;g_ep=EgoyMDI2MDMzMC4wIKXMDSoASAFQAw%3D%3D</v>
          </cell>
          <cell r="G670" t="str">
            <v>https://www.google.com/maps/dir/Catamarca+Sur+664,+J5402GSN+San+Juan/Escuela+Luis+Pasteur,+RN149,+Alcaparrosa,+San+Juan/Catamarca+Sur+664,+J5402GSN+San+Juan/@-31.2691944,-69.287496,79226m/data=!3m2!1e3!4b1!4m20!4m19!1m5!1m1!1s0x9681402690dd76eb:0x4b283f8fe10ce3f3!2m2!1d-68.5293601!2d-31.5426523!1m5!1m1!1s0x96842703cb303c35:0x374a145dc18c190!2m2!1d-69.4125674!2d-31.3029178!1m5!1m1!1s0x9681402690dd76eb:0x4b283f8fe10ce3f3!2m2!1d-68.5293601!2d-31.5426523!3e0?hl=es&amp;entry=ttu&amp;g_ep=EgoyMDI2MDMzMC4wIKXMDSoASAFQAw%3D%3D</v>
          </cell>
          <cell r="H670">
            <v>343</v>
          </cell>
        </row>
        <row r="671">
          <cell r="D671" t="str">
            <v>79G131M</v>
          </cell>
          <cell r="E671" t="str">
            <v>CALINGASTA</v>
          </cell>
          <cell r="F671" t="str">
            <v>https://www.google.com/maps/place/Escuela+Benito+Juarez/@-31.1371162,-69.4706591,219m/data=!3m1!1e3!4m12!1m5!3m4!2zMzHCsDA4JzE0LjEiUyA2OcKwMjgnMTAuOCJX!8m2!3d-31.1372557!4d-69.4696629!3m5!1s0x96843b054872837f:0xeb8e263f880ef3ac!8m2!3d-31.1375497!4d-69.4699073!16s%2Fg%2F11g194bh8m?hl=es&amp;entry=ttu&amp;g_ep=EgoyMDI2MDMzMC4wIKXMDSoASAFQAw%3D%3D</v>
          </cell>
          <cell r="G671" t="str">
            <v>google.com/maps/dir/Catamarca+Sur+664,+J5402GSN+San+Juan/Escuela+Benito+Juarez,+RP412,+Puchuzun,+San+Juan/Catamarca+Sur+664,+J5402GSN+San+Juan/@-31.2630289,-69.322501,79232m/data=!3m1!1e3!4m20!4m19!1m5!1m1!1s0x9681402690dd76eb:0x4b283f8fe10ce3f3!2m2!1d-68.5293601!2d-31.5426523!1m5!1m1!1s0x96843b054872837f:0xeb8e263f880ef3ac!2m2!1d-69.4699073!2d-31.1375497!1m5!1m1!1s0x9681402690dd76eb:0x4b283f8fe10ce3f3!2m2!1d-68.5293601!2d-31.5426523!3e0?hl=es&amp;entry=ttu&amp;g_ep=EgoyMDI2MDMzMC4wIKXMDSoASAFQAw%3D%3D</v>
          </cell>
          <cell r="H671">
            <v>402</v>
          </cell>
        </row>
        <row r="672">
          <cell r="D672" t="str">
            <v>79G4G1Y</v>
          </cell>
          <cell r="E672" t="str">
            <v>CALINGASTA</v>
          </cell>
          <cell r="F672" t="str">
            <v>https://www.google.com/maps/place/Escuela+Batalla+De+Maipu/@-31.4572022,-69.4224893,154m/data=!3m1!1e3!4m12!1m5!3m4!2zMzHCsDI3JzI1LjgiUyA2OcKwMjUnMTguOSJX!8m2!3d-31.4571725!4d-69.421918!3m5!1s0x96869c797f594225:0x85e16fe5045e1456!8m2!3d-31.4573736!4d-69.4218624!16s%2Fg%2F11dftbtc66?hl=es&amp;entry=ttu&amp;g_ep=EgoyMDI2MDMzMC4wIKXMDSoASAFQAw%3D%3D</v>
          </cell>
          <cell r="G672" t="str">
            <v>google.com/maps/dir/Catamarca+Sur+664,+J5402GSN+San+Juan/Escuela+Batalla+De+Maipu,+Tamberías,+San+Juan/Catamarca+Sur+664,+J5402GSN+San+Juan/@-31.2662908,-69.3195952,79229m/data=!3m1!1e3!4m20!4m19!1m5!1m1!1s0x9681402690dd76eb:0x4b283f8fe10ce3f3!2m2!1d-68.5293601!2d-31.5426523!1m5!1m1!1s0x96869c797f594225:0x85e16fe5045e1456!2m2!1d-69.4218624!2d-31.4573736!1m5!1m1!1s0x9681402690dd76eb:0x4b283f8fe10ce3f3!2m2!1d-68.5293601!2d-31.5426523!3e0?hl=es&amp;entry=ttu&amp;g_ep=EgoyMDI2MDMzMC4wIKXMDSoASAFQAw%3D%3D</v>
          </cell>
          <cell r="H672">
            <v>390</v>
          </cell>
        </row>
        <row r="673">
          <cell r="D673" t="str">
            <v>79G2T0T</v>
          </cell>
          <cell r="E673" t="str">
            <v>CALINGASTA</v>
          </cell>
          <cell r="F673" t="str">
            <v>https://www.google.com/maps/place/Escuela+Saturnino+Mar%C3%ADa+de+Laspiur/@-31.2516612,-69.4464827,184m/data=!3m1!1e3!4m12!1m5!3m4!2zMzHCsDE1JzA1LjIiUyA2OcKwMjYnNDQuNiJX!8m2!3d-31.2514518!4d-69.4457172!3m5!1s0x96842554607e949b:0xb2ff21121ee02337!8m2!3d-31.2517575!4d-69.4459853!16s%2Fg%2F11gjhl3gqw?hl=es&amp;entry=ttu&amp;g_ep=EgoyMDI2MDMzMC4wIKXMDSoASAFQAw%3D%3D</v>
          </cell>
          <cell r="G673" t="str">
            <v>google.com/maps/dir/Catamarca+Sur+664,+J5402GSN+San+Juan/Escuela+Saturnino+María+de+Laspiur,+Villa+Corral,+San+Juan/Catamarca+Sur+664,+J5402GSN+San+Juan/@-31.2662898,-69.308377,79229m/data=!3m1!1e3!4m20!4m19!1m5!1m1!1s0x9681402690dd76eb:0x4b283f8fe10ce3f3!2m2!1d-68.5293601!2d-31.5426523!1m5!1m1!1s0x96842554607e949b:0xb2ff21121ee02337!2m2!1d-69.4459853!2d-31.2517575!1m5!1m1!1s0x9681402690dd76eb:0x4b283f8fe10ce3f3!2m2!1d-68.5293601!2d-31.5426523!3e0?hl=es&amp;entry=ttu&amp;g_ep=EgoyMDI2MDMzMC4wIKXMDSoASAFQAw%3D%3D</v>
          </cell>
          <cell r="H673">
            <v>374</v>
          </cell>
        </row>
        <row r="674">
          <cell r="D674" t="str">
            <v>793G8L4</v>
          </cell>
          <cell r="E674" t="str">
            <v>CAPITAL</v>
          </cell>
          <cell r="F674"/>
          <cell r="G674"/>
          <cell r="H674">
            <v>0</v>
          </cell>
        </row>
        <row r="675">
          <cell r="D675" t="str">
            <v>79G1BXL</v>
          </cell>
          <cell r="E675" t="str">
            <v>Rivadavia</v>
          </cell>
          <cell r="F675" t="str">
            <v>https://www.google.com/maps/place/31%C2%B032'52.5%22S+68%C2%B037'08.5%22W/@-31.5479157,-68.6192251,39m/data=!3m1!1e3!4m4!3m3!8m2!3d-31.5479148!4d-68.6190131?hl=es&amp;entry=ttu&amp;g_ep=EgoyMDI2MDMzMC4wIKXMDSoASAFQAw%3D%3D</v>
          </cell>
          <cell r="G675" t="str">
            <v>https://www.google.com/maps/dir/Catamarca+Sur+664,+J5402GSN+San+Juan/-31.5479148,-68.6190131/Catamarca+Sur+664,+J5402GSN+San+Juan/@-31.5432474,-68.6149294,9874m/data=!3m2!1e3!4b1!4m15!4m14!1m5!1m1!1s0x9681402690dd76eb:0x4b283f8fe10ce3f3!2m2!1d-68.5293601!2d-31.5426523!1m0!1m5!1m1!1s0x9681402690dd76eb:0x4b283f8fe10ce3f3!2m2!1d-68.5293601!2d-31.5426523!3e0?hl=es&amp;entry=ttu&amp;g_ep=EgoyMDI2MDMzMC4wIKXMDSoASAFQAw%3D%3D</v>
          </cell>
          <cell r="H675">
            <v>21.9</v>
          </cell>
        </row>
        <row r="676">
          <cell r="D676" t="str">
            <v>79G1CD0</v>
          </cell>
          <cell r="E676" t="str">
            <v>Capital</v>
          </cell>
          <cell r="F676"/>
          <cell r="G676"/>
          <cell r="H676">
            <v>0</v>
          </cell>
        </row>
        <row r="677">
          <cell r="D677" t="str">
            <v>CNCRS4160X</v>
          </cell>
          <cell r="E677" t="str">
            <v>Sarmiento</v>
          </cell>
          <cell r="F677" t="str">
            <v>https://maps.app.goo.gl/JmgKCfirF1rcUyBR7</v>
          </cell>
          <cell r="G677" t="str">
            <v>https://www.google.com/maps/dir/Catamarca+Sur+664,+J5402GSN+San+Juan/Escuela+Falucho,+J5431+Los+Berros,+San+Juan/Catamarca+Sur+664,+San+Juan/@-31.762373,-68.8754295,78809m/data=!3m1!1e3!4m20!4m19!1m5!1m1!1s0x9681402690dd76eb:0x4b283f8fe10ce3f3!2m2!1d-68.5293761!2d-31.5426363!1m5!1m1!1s0x9680d890b9c43d4d:0x6a4b422f924b4f87!2m2!1d-68.6505764!2d-31.9522446!1m5!1m1!1s0x9681402690dd76eb:0x4b283f8fe10ce3f3!2m2!1d-68.5293761!2d-31.5426363!3e0?entry=ttu&amp;g_ep=EgoyMDI1MDgxMy4wIKXMDSoASAFQAw%3D%3D</v>
          </cell>
          <cell r="H677">
            <v>151</v>
          </cell>
        </row>
        <row r="678">
          <cell r="D678" t="str">
            <v>79G3Z57</v>
          </cell>
          <cell r="E678" t="str">
            <v>CAPITAL</v>
          </cell>
          <cell r="F678" t="str">
            <v>https://www.google.com/maps/place/C.E.N.T+18/@-31.5426985,-68.5412644,77m/data=!3m1!1e3!4m12!1m5!3m4!2zMzHCsDMyJzMzLjIiUyA2OMKwMzInMjcuNSJX!8m2!3d-31.5425558!4d-68.5409685!3m5!1s0x9681403a47049a41:0x9e95e1d36c87439b!8m2!3d-31.5425925!4d-68.54095!16s%2Fg%2F11c5h2x1nd?hl=es&amp;entry=ttu&amp;g_ep=EgoyMDI2MDMzMC4wIKXMDSoASAFQAw%3D%3D</v>
          </cell>
          <cell r="G678" t="str">
            <v>https://www.google.com/maps/dir/Catamarca+Sur+664,+J5402GSN+San+Juan/C.E.N.T+18,+J5402AJS,+Gral.+Jos%C3%A9+Mar%C3%ADa+Paz+Oeste+993-999,+J5402AJS+San+Juan/Catamarca+Sur+664,+J5402GSN+San+Juan/@-31.5418187,-68.5399786,1234m/data=!3m2!1e3!4b1!4m20!4m19!1m5!1m1!1s0x9681402690dd76eb:0x4b283f8fe10ce3f3!2m2!1d-68.5293601!2d-31.5426523!1m5!1m1!1s0x9681403a47049a41:0x9e95e1d36c87439b!2m2!1d-68.54095!2d-31.5425925!1m5!1m1!1s0x9681402690dd76eb:0x4b283f8fe10ce3f3!2m2!1d-68.5293601!2d-31.5426523!3e0?hl=es&amp;entry=ttu&amp;g_ep=EgoyMDI2MDMzMC4wIKXMDSoASAFQAw%3D%3D</v>
          </cell>
          <cell r="H678">
            <v>3.2</v>
          </cell>
        </row>
        <row r="679">
          <cell r="D679"/>
          <cell r="E679"/>
          <cell r="F679"/>
          <cell r="G679"/>
          <cell r="H679"/>
        </row>
        <row r="680">
          <cell r="D680"/>
          <cell r="E680"/>
          <cell r="F680"/>
          <cell r="G680"/>
          <cell r="H680"/>
        </row>
        <row r="681">
          <cell r="D681"/>
          <cell r="E681"/>
          <cell r="F681"/>
          <cell r="G681"/>
          <cell r="H681"/>
        </row>
        <row r="682">
          <cell r="D682"/>
          <cell r="E682"/>
          <cell r="F682"/>
          <cell r="G682"/>
          <cell r="H682"/>
        </row>
        <row r="683">
          <cell r="D683"/>
          <cell r="E683"/>
          <cell r="F683"/>
          <cell r="G683"/>
          <cell r="H683"/>
        </row>
        <row r="684">
          <cell r="D684"/>
          <cell r="E684"/>
          <cell r="F684"/>
          <cell r="G684"/>
          <cell r="H684"/>
        </row>
        <row r="685">
          <cell r="D685"/>
          <cell r="E685"/>
          <cell r="F685"/>
          <cell r="G685"/>
          <cell r="H685"/>
        </row>
        <row r="686">
          <cell r="D686"/>
          <cell r="E686"/>
          <cell r="F686"/>
          <cell r="G686"/>
          <cell r="H686"/>
        </row>
        <row r="687">
          <cell r="D687"/>
          <cell r="E687"/>
          <cell r="F687"/>
          <cell r="G687"/>
          <cell r="H687"/>
        </row>
        <row r="688">
          <cell r="D688"/>
          <cell r="E688"/>
          <cell r="F688"/>
          <cell r="G688"/>
          <cell r="H688"/>
        </row>
        <row r="689">
          <cell r="D689"/>
          <cell r="E689"/>
          <cell r="F689"/>
          <cell r="G689"/>
          <cell r="H689"/>
        </row>
        <row r="690">
          <cell r="D690"/>
          <cell r="E690"/>
          <cell r="F690"/>
          <cell r="G690"/>
          <cell r="H690"/>
        </row>
        <row r="691">
          <cell r="D691"/>
          <cell r="E691"/>
          <cell r="F691"/>
          <cell r="G691"/>
          <cell r="H691"/>
        </row>
        <row r="692">
          <cell r="D692"/>
          <cell r="E692"/>
          <cell r="F692"/>
          <cell r="G692"/>
          <cell r="H692"/>
        </row>
        <row r="693">
          <cell r="D693"/>
          <cell r="E693"/>
          <cell r="F693"/>
          <cell r="G693"/>
          <cell r="H693"/>
        </row>
        <row r="694">
          <cell r="D694"/>
          <cell r="E694"/>
          <cell r="F694"/>
          <cell r="G694"/>
          <cell r="H694"/>
        </row>
        <row r="695">
          <cell r="D695"/>
          <cell r="E695"/>
          <cell r="F695"/>
          <cell r="G695"/>
          <cell r="H695"/>
        </row>
        <row r="696">
          <cell r="D696"/>
          <cell r="E696"/>
          <cell r="F696"/>
          <cell r="G696"/>
          <cell r="H696"/>
        </row>
        <row r="697">
          <cell r="D697"/>
          <cell r="E697"/>
          <cell r="F697"/>
          <cell r="G697"/>
          <cell r="H697"/>
        </row>
        <row r="698">
          <cell r="D698"/>
          <cell r="E698"/>
          <cell r="F698"/>
          <cell r="G698"/>
          <cell r="H698"/>
        </row>
        <row r="699">
          <cell r="D699"/>
          <cell r="E699"/>
          <cell r="F699"/>
          <cell r="G699"/>
          <cell r="H699"/>
        </row>
        <row r="700">
          <cell r="D700"/>
          <cell r="E700"/>
          <cell r="F700"/>
          <cell r="G700"/>
          <cell r="H700"/>
        </row>
        <row r="701">
          <cell r="D701"/>
          <cell r="E701"/>
          <cell r="F701"/>
          <cell r="G701"/>
          <cell r="H701"/>
        </row>
        <row r="702">
          <cell r="D702"/>
          <cell r="E702"/>
          <cell r="F702"/>
          <cell r="G702"/>
          <cell r="H702"/>
        </row>
        <row r="703">
          <cell r="D703"/>
          <cell r="E703"/>
          <cell r="F703"/>
          <cell r="G703"/>
          <cell r="H703"/>
        </row>
        <row r="704">
          <cell r="D704"/>
          <cell r="E704"/>
          <cell r="F704"/>
          <cell r="G704"/>
          <cell r="H704"/>
        </row>
        <row r="705">
          <cell r="D705"/>
          <cell r="E705"/>
          <cell r="F705"/>
          <cell r="G705"/>
          <cell r="H705"/>
        </row>
        <row r="706">
          <cell r="D706"/>
          <cell r="E706"/>
          <cell r="F706"/>
          <cell r="G706"/>
          <cell r="H706"/>
        </row>
        <row r="707">
          <cell r="D707"/>
          <cell r="E707"/>
          <cell r="F707"/>
          <cell r="G707"/>
          <cell r="H707"/>
        </row>
        <row r="708">
          <cell r="D708"/>
          <cell r="E708"/>
          <cell r="F708"/>
          <cell r="G708"/>
          <cell r="H708"/>
        </row>
        <row r="709">
          <cell r="D709"/>
          <cell r="E709"/>
          <cell r="F709"/>
          <cell r="G709"/>
          <cell r="H709"/>
        </row>
        <row r="710">
          <cell r="D710"/>
          <cell r="E710"/>
          <cell r="F710"/>
          <cell r="G710"/>
          <cell r="H710"/>
        </row>
        <row r="711">
          <cell r="D711"/>
          <cell r="E711"/>
          <cell r="F711"/>
          <cell r="G711"/>
          <cell r="H711"/>
        </row>
        <row r="712">
          <cell r="D712"/>
          <cell r="E712"/>
          <cell r="F712"/>
          <cell r="G712"/>
          <cell r="H712"/>
        </row>
        <row r="713">
          <cell r="D713"/>
          <cell r="E713"/>
          <cell r="F713"/>
          <cell r="G713"/>
          <cell r="H713"/>
        </row>
        <row r="714">
          <cell r="D714"/>
          <cell r="E714"/>
          <cell r="F714"/>
          <cell r="G714"/>
          <cell r="H714"/>
        </row>
        <row r="715">
          <cell r="D715"/>
          <cell r="E715"/>
          <cell r="F715"/>
          <cell r="G715"/>
          <cell r="H715"/>
        </row>
        <row r="716">
          <cell r="D716"/>
          <cell r="E716"/>
          <cell r="F716"/>
          <cell r="G716"/>
          <cell r="H716"/>
        </row>
        <row r="717">
          <cell r="D717"/>
          <cell r="E717"/>
          <cell r="F717"/>
          <cell r="G717"/>
          <cell r="H717"/>
        </row>
        <row r="718">
          <cell r="D718"/>
          <cell r="E718"/>
          <cell r="F718"/>
          <cell r="G718"/>
          <cell r="H718"/>
        </row>
        <row r="719">
          <cell r="D719"/>
          <cell r="E719"/>
          <cell r="F719"/>
          <cell r="G719"/>
          <cell r="H719"/>
        </row>
        <row r="720">
          <cell r="D720"/>
          <cell r="E720"/>
          <cell r="F720"/>
          <cell r="G720"/>
          <cell r="H720"/>
        </row>
        <row r="721">
          <cell r="D721"/>
          <cell r="E721"/>
          <cell r="F721"/>
          <cell r="G721"/>
          <cell r="H721"/>
        </row>
        <row r="722">
          <cell r="D722"/>
          <cell r="E722"/>
          <cell r="F722"/>
          <cell r="G722"/>
          <cell r="H722"/>
        </row>
        <row r="723">
          <cell r="D723"/>
          <cell r="E723"/>
          <cell r="F723"/>
          <cell r="G723"/>
          <cell r="H723"/>
        </row>
        <row r="724">
          <cell r="D724"/>
          <cell r="E724"/>
          <cell r="F724"/>
          <cell r="G724"/>
          <cell r="H724"/>
        </row>
        <row r="725">
          <cell r="D725"/>
          <cell r="E725"/>
          <cell r="F725"/>
          <cell r="G725"/>
          <cell r="H725"/>
        </row>
        <row r="726">
          <cell r="D726"/>
          <cell r="E726"/>
          <cell r="F726"/>
          <cell r="G726"/>
          <cell r="H726"/>
        </row>
        <row r="727">
          <cell r="D727"/>
          <cell r="E727"/>
          <cell r="F727"/>
          <cell r="G727"/>
          <cell r="H727"/>
        </row>
        <row r="728">
          <cell r="D728"/>
          <cell r="E728"/>
          <cell r="F728"/>
          <cell r="G728"/>
          <cell r="H728"/>
        </row>
        <row r="729">
          <cell r="D729"/>
          <cell r="E729"/>
          <cell r="F729"/>
          <cell r="G729"/>
          <cell r="H729"/>
        </row>
        <row r="730">
          <cell r="D730"/>
          <cell r="E730"/>
          <cell r="F730"/>
          <cell r="G730"/>
          <cell r="H730"/>
        </row>
        <row r="731">
          <cell r="D731"/>
          <cell r="E731"/>
          <cell r="F731"/>
          <cell r="G731"/>
          <cell r="H731"/>
        </row>
        <row r="732">
          <cell r="D732"/>
          <cell r="E732"/>
          <cell r="F732"/>
          <cell r="G732"/>
          <cell r="H732"/>
        </row>
        <row r="733">
          <cell r="D733"/>
          <cell r="E733"/>
          <cell r="F733"/>
          <cell r="G733"/>
          <cell r="H733"/>
        </row>
        <row r="734">
          <cell r="D734"/>
          <cell r="E734"/>
          <cell r="F734"/>
          <cell r="G734"/>
          <cell r="H734"/>
        </row>
        <row r="735">
          <cell r="D735"/>
          <cell r="E735"/>
          <cell r="F735"/>
          <cell r="G735"/>
          <cell r="H735"/>
        </row>
        <row r="736">
          <cell r="D736"/>
          <cell r="E736"/>
          <cell r="F736"/>
          <cell r="G736"/>
          <cell r="H736"/>
        </row>
        <row r="737">
          <cell r="D737"/>
          <cell r="E737"/>
          <cell r="F737"/>
          <cell r="G737"/>
          <cell r="H737"/>
        </row>
        <row r="738">
          <cell r="D738"/>
          <cell r="E738"/>
          <cell r="F738"/>
          <cell r="G738"/>
          <cell r="H738"/>
        </row>
        <row r="739">
          <cell r="D739"/>
          <cell r="E739"/>
          <cell r="F739"/>
          <cell r="G739"/>
          <cell r="H739"/>
        </row>
        <row r="740">
          <cell r="D740"/>
          <cell r="E740"/>
          <cell r="F740"/>
          <cell r="G740"/>
          <cell r="H740"/>
        </row>
        <row r="741">
          <cell r="D741"/>
          <cell r="E741"/>
          <cell r="F741"/>
          <cell r="G741"/>
          <cell r="H741"/>
        </row>
        <row r="742">
          <cell r="D742"/>
          <cell r="E742"/>
          <cell r="F742"/>
          <cell r="G742"/>
          <cell r="H742"/>
        </row>
        <row r="743">
          <cell r="D743"/>
          <cell r="E743"/>
          <cell r="F743"/>
          <cell r="G743"/>
          <cell r="H743"/>
        </row>
        <row r="744">
          <cell r="D744"/>
          <cell r="E744"/>
          <cell r="F744"/>
          <cell r="G744"/>
          <cell r="H744"/>
        </row>
        <row r="745">
          <cell r="D745"/>
          <cell r="E745"/>
          <cell r="F745"/>
          <cell r="G745"/>
          <cell r="H745"/>
        </row>
        <row r="746">
          <cell r="D746"/>
          <cell r="E746"/>
          <cell r="F746"/>
          <cell r="G746"/>
          <cell r="H746"/>
        </row>
        <row r="747">
          <cell r="D747"/>
          <cell r="E747"/>
          <cell r="F747"/>
          <cell r="G747"/>
          <cell r="H747"/>
        </row>
        <row r="748">
          <cell r="D748"/>
          <cell r="E748"/>
          <cell r="F748"/>
          <cell r="G748"/>
          <cell r="H748"/>
        </row>
        <row r="749">
          <cell r="D749"/>
          <cell r="E749"/>
          <cell r="F749"/>
          <cell r="G749"/>
          <cell r="H749"/>
        </row>
        <row r="750">
          <cell r="D750"/>
          <cell r="E750"/>
          <cell r="F750"/>
          <cell r="G750"/>
          <cell r="H750"/>
        </row>
        <row r="751">
          <cell r="D751"/>
          <cell r="E751"/>
          <cell r="F751"/>
          <cell r="G751"/>
          <cell r="H751"/>
        </row>
        <row r="752">
          <cell r="D752"/>
          <cell r="E752"/>
          <cell r="F752"/>
          <cell r="G752"/>
          <cell r="H752"/>
        </row>
        <row r="753">
          <cell r="D753"/>
          <cell r="E753"/>
          <cell r="F753"/>
          <cell r="G753"/>
          <cell r="H753"/>
        </row>
        <row r="754">
          <cell r="D754"/>
          <cell r="E754"/>
          <cell r="F754"/>
          <cell r="G754"/>
          <cell r="H754"/>
        </row>
        <row r="755">
          <cell r="D755"/>
          <cell r="E755"/>
          <cell r="F755"/>
          <cell r="G755"/>
          <cell r="H755"/>
        </row>
        <row r="756">
          <cell r="D756"/>
          <cell r="E756"/>
          <cell r="F756"/>
          <cell r="G756"/>
          <cell r="H756"/>
        </row>
        <row r="757">
          <cell r="D757"/>
          <cell r="E757"/>
          <cell r="F757"/>
          <cell r="G757"/>
          <cell r="H757"/>
        </row>
        <row r="758">
          <cell r="D758"/>
          <cell r="E758"/>
          <cell r="F758"/>
          <cell r="G758"/>
          <cell r="H758"/>
        </row>
        <row r="759">
          <cell r="D759"/>
          <cell r="E759"/>
          <cell r="F759"/>
          <cell r="G759"/>
          <cell r="H759"/>
        </row>
        <row r="760">
          <cell r="D760"/>
          <cell r="E760"/>
          <cell r="F760"/>
          <cell r="G760"/>
          <cell r="H760"/>
        </row>
        <row r="761">
          <cell r="D761"/>
          <cell r="E761"/>
          <cell r="F761"/>
          <cell r="G761"/>
          <cell r="H761"/>
        </row>
        <row r="762">
          <cell r="D762"/>
          <cell r="E762"/>
          <cell r="F762"/>
          <cell r="G762"/>
          <cell r="H762"/>
        </row>
        <row r="763">
          <cell r="D763"/>
          <cell r="E763"/>
          <cell r="F763"/>
          <cell r="G763"/>
          <cell r="H763"/>
        </row>
        <row r="764">
          <cell r="D764"/>
          <cell r="E764"/>
          <cell r="F764"/>
          <cell r="G764"/>
          <cell r="H764"/>
        </row>
        <row r="765">
          <cell r="D765"/>
          <cell r="E765"/>
          <cell r="F765"/>
          <cell r="G765"/>
          <cell r="H765"/>
        </row>
        <row r="766">
          <cell r="D766"/>
          <cell r="E766"/>
          <cell r="F766"/>
          <cell r="G766"/>
          <cell r="H766"/>
        </row>
        <row r="767">
          <cell r="D767"/>
          <cell r="E767"/>
          <cell r="F767"/>
          <cell r="G767"/>
          <cell r="H767"/>
        </row>
        <row r="768">
          <cell r="D768"/>
          <cell r="E768"/>
          <cell r="F768"/>
          <cell r="G768"/>
          <cell r="H768"/>
        </row>
        <row r="769">
          <cell r="D769"/>
          <cell r="E769"/>
          <cell r="F769"/>
          <cell r="G769"/>
          <cell r="H769"/>
        </row>
        <row r="770">
          <cell r="D770"/>
          <cell r="E770"/>
          <cell r="F770"/>
          <cell r="G770"/>
          <cell r="H770"/>
        </row>
        <row r="771">
          <cell r="D771"/>
          <cell r="E771"/>
          <cell r="F771"/>
          <cell r="G771"/>
          <cell r="H771"/>
        </row>
        <row r="772">
          <cell r="D772"/>
          <cell r="E772"/>
          <cell r="F772"/>
          <cell r="G772"/>
          <cell r="H772"/>
        </row>
        <row r="773">
          <cell r="D773"/>
          <cell r="E773"/>
          <cell r="F773"/>
          <cell r="G773"/>
          <cell r="H773"/>
        </row>
        <row r="774">
          <cell r="D774"/>
          <cell r="E774"/>
          <cell r="F774"/>
          <cell r="G774"/>
          <cell r="H774"/>
        </row>
        <row r="775">
          <cell r="D775"/>
          <cell r="E775"/>
          <cell r="F775"/>
          <cell r="G775"/>
          <cell r="H775"/>
        </row>
        <row r="776">
          <cell r="D776"/>
          <cell r="E776"/>
          <cell r="F776"/>
          <cell r="G776"/>
          <cell r="H776"/>
        </row>
        <row r="777">
          <cell r="D777"/>
          <cell r="E777"/>
          <cell r="F777"/>
          <cell r="G777"/>
          <cell r="H777"/>
        </row>
        <row r="778">
          <cell r="D778"/>
          <cell r="E778"/>
          <cell r="F778"/>
          <cell r="G778"/>
          <cell r="H778"/>
        </row>
        <row r="779">
          <cell r="D779"/>
          <cell r="E779"/>
          <cell r="F779"/>
          <cell r="G779"/>
          <cell r="H779"/>
        </row>
        <row r="780">
          <cell r="D780"/>
          <cell r="E780"/>
          <cell r="F780"/>
          <cell r="G780"/>
          <cell r="H780"/>
        </row>
        <row r="781">
          <cell r="D781"/>
          <cell r="E781"/>
          <cell r="F781"/>
          <cell r="G781"/>
          <cell r="H781"/>
        </row>
        <row r="782">
          <cell r="D782"/>
          <cell r="E782"/>
          <cell r="F782"/>
          <cell r="G782"/>
          <cell r="H782"/>
        </row>
        <row r="783">
          <cell r="D783"/>
          <cell r="E783"/>
          <cell r="F783"/>
          <cell r="G783"/>
          <cell r="H783"/>
        </row>
        <row r="784">
          <cell r="D784"/>
          <cell r="E784"/>
          <cell r="F784"/>
          <cell r="G784"/>
          <cell r="H784"/>
        </row>
        <row r="785">
          <cell r="D785"/>
          <cell r="E785"/>
          <cell r="F785"/>
          <cell r="G785"/>
          <cell r="H785"/>
        </row>
        <row r="786">
          <cell r="D786"/>
          <cell r="E786"/>
          <cell r="F786"/>
          <cell r="G786"/>
          <cell r="H786"/>
        </row>
        <row r="787">
          <cell r="D787"/>
          <cell r="E787"/>
          <cell r="F787"/>
          <cell r="G787"/>
          <cell r="H787"/>
        </row>
        <row r="788">
          <cell r="D788"/>
          <cell r="E788"/>
          <cell r="F788"/>
          <cell r="G788"/>
          <cell r="H788"/>
        </row>
        <row r="789">
          <cell r="D789"/>
          <cell r="E789"/>
          <cell r="F789"/>
          <cell r="G789"/>
          <cell r="H789"/>
        </row>
        <row r="790">
          <cell r="D790"/>
          <cell r="E790"/>
          <cell r="F790"/>
          <cell r="G790"/>
          <cell r="H790"/>
        </row>
        <row r="791">
          <cell r="D791"/>
          <cell r="E791"/>
          <cell r="F791"/>
          <cell r="G791"/>
          <cell r="H791"/>
        </row>
        <row r="792">
          <cell r="D792"/>
          <cell r="E792"/>
          <cell r="F792"/>
          <cell r="G792"/>
          <cell r="H792"/>
        </row>
        <row r="793">
          <cell r="D793"/>
          <cell r="E793"/>
          <cell r="F793"/>
          <cell r="G793"/>
          <cell r="H793"/>
        </row>
        <row r="794">
          <cell r="D794"/>
          <cell r="E794"/>
          <cell r="F794"/>
          <cell r="G794"/>
          <cell r="H794"/>
        </row>
        <row r="795">
          <cell r="D795"/>
          <cell r="E795"/>
          <cell r="F795"/>
          <cell r="G795"/>
          <cell r="H795"/>
        </row>
        <row r="796">
          <cell r="D796"/>
          <cell r="E796"/>
          <cell r="F796"/>
          <cell r="G796"/>
          <cell r="H796"/>
        </row>
        <row r="797">
          <cell r="D797"/>
          <cell r="E797"/>
          <cell r="F797"/>
          <cell r="G797"/>
          <cell r="H797"/>
        </row>
        <row r="798">
          <cell r="D798"/>
          <cell r="E798"/>
          <cell r="F798"/>
          <cell r="G798"/>
          <cell r="H798"/>
        </row>
        <row r="799">
          <cell r="D799"/>
          <cell r="E799"/>
          <cell r="F799"/>
          <cell r="G799"/>
          <cell r="H799"/>
        </row>
        <row r="800">
          <cell r="D800"/>
          <cell r="E800"/>
          <cell r="F800"/>
          <cell r="G800"/>
          <cell r="H800"/>
        </row>
        <row r="801">
          <cell r="D801"/>
          <cell r="E801"/>
          <cell r="F801"/>
          <cell r="G801"/>
          <cell r="H801"/>
        </row>
        <row r="802">
          <cell r="D802"/>
          <cell r="E802"/>
          <cell r="F802"/>
          <cell r="G802"/>
          <cell r="H802"/>
        </row>
        <row r="803">
          <cell r="D803"/>
          <cell r="E803"/>
          <cell r="F803"/>
          <cell r="G803"/>
          <cell r="H803"/>
        </row>
        <row r="804">
          <cell r="D804"/>
          <cell r="E804"/>
          <cell r="F804"/>
          <cell r="G804"/>
          <cell r="H804"/>
        </row>
        <row r="805">
          <cell r="D805"/>
          <cell r="E805"/>
          <cell r="F805"/>
          <cell r="G805"/>
          <cell r="H805"/>
        </row>
        <row r="806">
          <cell r="D806"/>
          <cell r="E806"/>
          <cell r="F806"/>
          <cell r="G806"/>
          <cell r="H806"/>
        </row>
        <row r="807">
          <cell r="D807"/>
          <cell r="E807"/>
          <cell r="F807"/>
          <cell r="G807"/>
          <cell r="H807"/>
        </row>
        <row r="808">
          <cell r="D808"/>
          <cell r="E808"/>
          <cell r="F808"/>
          <cell r="G808"/>
          <cell r="H808"/>
        </row>
        <row r="809">
          <cell r="D809"/>
          <cell r="E809"/>
          <cell r="F809"/>
          <cell r="G809"/>
          <cell r="H809"/>
        </row>
        <row r="810">
          <cell r="D810"/>
          <cell r="E810"/>
          <cell r="F810"/>
          <cell r="G810"/>
          <cell r="H810"/>
        </row>
        <row r="811">
          <cell r="D811"/>
          <cell r="E811"/>
          <cell r="F811"/>
          <cell r="G811"/>
          <cell r="H811"/>
        </row>
        <row r="812">
          <cell r="D812"/>
          <cell r="E812"/>
          <cell r="F812"/>
          <cell r="G812"/>
          <cell r="H812"/>
        </row>
        <row r="813">
          <cell r="D813"/>
          <cell r="E813"/>
          <cell r="F813"/>
          <cell r="G813"/>
          <cell r="H813"/>
        </row>
        <row r="814">
          <cell r="D814"/>
          <cell r="E814"/>
          <cell r="F814"/>
          <cell r="G814"/>
          <cell r="H814"/>
        </row>
        <row r="815">
          <cell r="D815"/>
          <cell r="E815"/>
          <cell r="F815"/>
          <cell r="G815"/>
          <cell r="H815"/>
        </row>
        <row r="816">
          <cell r="D816"/>
          <cell r="E816"/>
          <cell r="F816"/>
          <cell r="G816"/>
          <cell r="H816"/>
        </row>
        <row r="817">
          <cell r="D817"/>
          <cell r="E817"/>
          <cell r="F817"/>
          <cell r="G817"/>
          <cell r="H817"/>
        </row>
        <row r="818">
          <cell r="D818"/>
          <cell r="E818"/>
          <cell r="F818"/>
          <cell r="G818"/>
          <cell r="H818"/>
        </row>
        <row r="819">
          <cell r="D819"/>
          <cell r="E819"/>
          <cell r="F819"/>
          <cell r="G819"/>
          <cell r="H819"/>
        </row>
        <row r="820">
          <cell r="D820"/>
          <cell r="E820"/>
          <cell r="F820"/>
          <cell r="G820"/>
          <cell r="H820"/>
        </row>
        <row r="821">
          <cell r="D821"/>
          <cell r="E821"/>
          <cell r="F821"/>
          <cell r="G821"/>
          <cell r="H821"/>
        </row>
        <row r="822">
          <cell r="D822"/>
          <cell r="E822"/>
          <cell r="F822"/>
          <cell r="G822"/>
          <cell r="H822"/>
        </row>
        <row r="823">
          <cell r="D823"/>
          <cell r="E823"/>
          <cell r="F823"/>
          <cell r="G823"/>
          <cell r="H823"/>
        </row>
        <row r="824">
          <cell r="D824"/>
          <cell r="E824"/>
          <cell r="F824"/>
          <cell r="G824"/>
          <cell r="H824"/>
        </row>
        <row r="825">
          <cell r="D825"/>
          <cell r="E825"/>
          <cell r="F825"/>
          <cell r="G825"/>
          <cell r="H825"/>
        </row>
        <row r="826">
          <cell r="D826"/>
          <cell r="E826"/>
          <cell r="F826"/>
          <cell r="G826"/>
          <cell r="H826"/>
        </row>
        <row r="827">
          <cell r="D827"/>
          <cell r="E827"/>
          <cell r="F827"/>
          <cell r="G827"/>
          <cell r="H827"/>
        </row>
        <row r="828">
          <cell r="D828"/>
          <cell r="E828"/>
          <cell r="F828"/>
          <cell r="G828"/>
          <cell r="H828"/>
        </row>
        <row r="829">
          <cell r="D829"/>
          <cell r="E829"/>
          <cell r="F829"/>
          <cell r="G829"/>
          <cell r="H829"/>
        </row>
        <row r="830">
          <cell r="D830"/>
          <cell r="E830"/>
          <cell r="F830"/>
          <cell r="G830"/>
          <cell r="H830"/>
        </row>
        <row r="831">
          <cell r="D831"/>
          <cell r="E831"/>
          <cell r="F831"/>
          <cell r="G831"/>
          <cell r="H831"/>
        </row>
        <row r="832">
          <cell r="D832"/>
          <cell r="E832"/>
          <cell r="F832"/>
          <cell r="G832"/>
          <cell r="H832"/>
        </row>
        <row r="833">
          <cell r="D833"/>
          <cell r="E833"/>
          <cell r="F833"/>
          <cell r="G833"/>
          <cell r="H833"/>
        </row>
        <row r="834">
          <cell r="D834"/>
          <cell r="E834"/>
          <cell r="F834"/>
          <cell r="G834"/>
          <cell r="H834"/>
        </row>
        <row r="835">
          <cell r="D835"/>
          <cell r="E835"/>
          <cell r="F835"/>
          <cell r="G835"/>
          <cell r="H835"/>
        </row>
        <row r="836">
          <cell r="D836"/>
          <cell r="E836"/>
          <cell r="F836"/>
          <cell r="G836"/>
          <cell r="H836"/>
        </row>
        <row r="837">
          <cell r="D837"/>
          <cell r="E837"/>
          <cell r="F837"/>
          <cell r="G837"/>
          <cell r="H837"/>
        </row>
        <row r="838">
          <cell r="D838"/>
          <cell r="E838"/>
          <cell r="F838"/>
          <cell r="G838"/>
          <cell r="H838"/>
        </row>
        <row r="839">
          <cell r="D839"/>
          <cell r="E839"/>
          <cell r="F839"/>
          <cell r="G839"/>
          <cell r="H839"/>
        </row>
        <row r="840">
          <cell r="D840"/>
          <cell r="E840"/>
          <cell r="F840"/>
          <cell r="G840"/>
          <cell r="H840"/>
        </row>
        <row r="841">
          <cell r="D841"/>
          <cell r="E841"/>
          <cell r="F841"/>
          <cell r="G841"/>
          <cell r="H841"/>
        </row>
        <row r="842">
          <cell r="D842"/>
          <cell r="E842"/>
          <cell r="F842"/>
          <cell r="G842"/>
          <cell r="H842"/>
        </row>
        <row r="843">
          <cell r="D843"/>
          <cell r="E843"/>
          <cell r="F843"/>
          <cell r="G843"/>
          <cell r="H843"/>
        </row>
        <row r="844">
          <cell r="D844"/>
          <cell r="E844"/>
          <cell r="F844"/>
          <cell r="G844"/>
          <cell r="H844"/>
        </row>
        <row r="845">
          <cell r="D845"/>
          <cell r="E845"/>
          <cell r="F845"/>
          <cell r="G845"/>
          <cell r="H845"/>
        </row>
        <row r="846">
          <cell r="D846"/>
          <cell r="E846"/>
          <cell r="F846"/>
          <cell r="G846"/>
          <cell r="H846"/>
        </row>
        <row r="847">
          <cell r="D847"/>
          <cell r="E847"/>
          <cell r="F847"/>
          <cell r="G847"/>
          <cell r="H847"/>
        </row>
        <row r="848">
          <cell r="D848"/>
          <cell r="E848"/>
          <cell r="F848"/>
          <cell r="G848"/>
          <cell r="H848"/>
        </row>
        <row r="849">
          <cell r="D849"/>
          <cell r="E849"/>
          <cell r="F849"/>
          <cell r="G849"/>
          <cell r="H849"/>
        </row>
        <row r="850">
          <cell r="D850"/>
          <cell r="E850"/>
          <cell r="F850"/>
          <cell r="G850"/>
          <cell r="H850"/>
        </row>
        <row r="851">
          <cell r="D851"/>
          <cell r="E851"/>
          <cell r="F851"/>
          <cell r="G851"/>
          <cell r="H851"/>
        </row>
        <row r="852">
          <cell r="D852"/>
          <cell r="E852"/>
          <cell r="F852"/>
          <cell r="G852"/>
          <cell r="H852"/>
        </row>
        <row r="853">
          <cell r="D853"/>
          <cell r="E853"/>
          <cell r="F853"/>
          <cell r="G853"/>
          <cell r="H853"/>
        </row>
        <row r="854">
          <cell r="D854"/>
          <cell r="E854"/>
          <cell r="F854"/>
          <cell r="G854"/>
          <cell r="H854"/>
        </row>
        <row r="855">
          <cell r="D855"/>
          <cell r="E855"/>
          <cell r="F855"/>
          <cell r="G855"/>
          <cell r="H855"/>
        </row>
        <row r="856">
          <cell r="D856"/>
          <cell r="E856"/>
          <cell r="F856"/>
          <cell r="G856"/>
          <cell r="H856"/>
        </row>
        <row r="857">
          <cell r="D857"/>
          <cell r="E857"/>
          <cell r="F857"/>
          <cell r="G857"/>
          <cell r="H857"/>
        </row>
        <row r="858">
          <cell r="D858"/>
          <cell r="E858"/>
          <cell r="F858"/>
          <cell r="G858"/>
          <cell r="H858"/>
        </row>
        <row r="859">
          <cell r="D859"/>
          <cell r="E859"/>
          <cell r="F859"/>
          <cell r="G859"/>
          <cell r="H859"/>
        </row>
        <row r="860">
          <cell r="D860"/>
          <cell r="E860"/>
          <cell r="F860"/>
          <cell r="G860"/>
          <cell r="H860"/>
        </row>
        <row r="861">
          <cell r="D861"/>
          <cell r="E861"/>
          <cell r="F861"/>
          <cell r="G861"/>
          <cell r="H861"/>
        </row>
        <row r="862">
          <cell r="D862"/>
          <cell r="E862"/>
          <cell r="F862"/>
          <cell r="G862"/>
          <cell r="H862"/>
        </row>
        <row r="863">
          <cell r="D863"/>
          <cell r="E863"/>
          <cell r="F863"/>
          <cell r="G863"/>
          <cell r="H863"/>
        </row>
        <row r="864">
          <cell r="D864"/>
          <cell r="E864"/>
          <cell r="F864"/>
          <cell r="G864"/>
          <cell r="H864"/>
        </row>
        <row r="865">
          <cell r="D865"/>
          <cell r="E865"/>
          <cell r="F865"/>
          <cell r="G865"/>
          <cell r="H865"/>
        </row>
        <row r="866">
          <cell r="D866"/>
          <cell r="E866"/>
          <cell r="F866"/>
          <cell r="G866"/>
          <cell r="H866"/>
        </row>
        <row r="867">
          <cell r="D867"/>
          <cell r="E867"/>
          <cell r="F867"/>
          <cell r="G867"/>
          <cell r="H867"/>
        </row>
        <row r="868">
          <cell r="D868"/>
          <cell r="E868"/>
          <cell r="F868"/>
          <cell r="G868"/>
          <cell r="H868"/>
        </row>
        <row r="869">
          <cell r="D869"/>
          <cell r="E869"/>
          <cell r="F869"/>
          <cell r="G869"/>
          <cell r="H869"/>
        </row>
        <row r="870">
          <cell r="D870"/>
          <cell r="E870"/>
          <cell r="F870"/>
          <cell r="G870"/>
          <cell r="H870"/>
        </row>
        <row r="871">
          <cell r="D871"/>
          <cell r="E871"/>
          <cell r="F871"/>
          <cell r="G871"/>
          <cell r="H871"/>
        </row>
        <row r="872">
          <cell r="D872"/>
          <cell r="E872"/>
          <cell r="F872"/>
          <cell r="G872"/>
          <cell r="H872"/>
        </row>
        <row r="873">
          <cell r="D873"/>
          <cell r="E873"/>
          <cell r="F873"/>
          <cell r="G873"/>
          <cell r="H873"/>
        </row>
        <row r="874">
          <cell r="D874"/>
          <cell r="E874"/>
          <cell r="F874"/>
          <cell r="G874"/>
          <cell r="H874"/>
        </row>
        <row r="875">
          <cell r="D875"/>
          <cell r="E875"/>
          <cell r="F875"/>
          <cell r="G875"/>
          <cell r="H875"/>
        </row>
        <row r="876">
          <cell r="D876"/>
          <cell r="E876"/>
          <cell r="F876"/>
          <cell r="G876"/>
          <cell r="H876"/>
        </row>
        <row r="877">
          <cell r="D877"/>
          <cell r="E877"/>
          <cell r="F877"/>
          <cell r="G877"/>
          <cell r="H877"/>
        </row>
        <row r="878">
          <cell r="D878"/>
          <cell r="E878"/>
          <cell r="F878"/>
          <cell r="G878"/>
          <cell r="H878"/>
        </row>
        <row r="879">
          <cell r="D879"/>
          <cell r="E879"/>
          <cell r="F879"/>
          <cell r="G879"/>
          <cell r="H879"/>
        </row>
        <row r="880">
          <cell r="D880"/>
          <cell r="E880"/>
          <cell r="F880"/>
          <cell r="G880"/>
          <cell r="H880"/>
        </row>
        <row r="881">
          <cell r="D881"/>
          <cell r="E881"/>
          <cell r="F881"/>
          <cell r="G881"/>
          <cell r="H881"/>
        </row>
        <row r="882">
          <cell r="D882"/>
          <cell r="E882"/>
          <cell r="F882"/>
          <cell r="G882"/>
          <cell r="H882"/>
        </row>
        <row r="883">
          <cell r="D883"/>
          <cell r="E883"/>
          <cell r="F883"/>
          <cell r="G883"/>
          <cell r="H883"/>
        </row>
        <row r="884">
          <cell r="D884"/>
          <cell r="E884"/>
          <cell r="F884"/>
          <cell r="G884"/>
          <cell r="H884"/>
        </row>
        <row r="885">
          <cell r="D885"/>
          <cell r="E885"/>
          <cell r="F885"/>
          <cell r="G885"/>
          <cell r="H885"/>
        </row>
        <row r="886">
          <cell r="D886"/>
          <cell r="E886"/>
          <cell r="F886"/>
          <cell r="G886"/>
          <cell r="H886"/>
        </row>
        <row r="887">
          <cell r="D887"/>
          <cell r="E887"/>
          <cell r="F887"/>
          <cell r="G887"/>
          <cell r="H887"/>
        </row>
        <row r="888">
          <cell r="D888"/>
          <cell r="E888"/>
          <cell r="F888"/>
          <cell r="G888"/>
          <cell r="H888"/>
        </row>
        <row r="889">
          <cell r="D889"/>
          <cell r="E889"/>
          <cell r="F889"/>
          <cell r="G889"/>
          <cell r="H889"/>
        </row>
        <row r="890">
          <cell r="D890"/>
          <cell r="E890"/>
          <cell r="F890"/>
          <cell r="G890"/>
          <cell r="H890"/>
        </row>
        <row r="891">
          <cell r="D891"/>
          <cell r="E891"/>
          <cell r="F891"/>
          <cell r="G891"/>
          <cell r="H891"/>
        </row>
        <row r="892">
          <cell r="D892"/>
          <cell r="E892"/>
          <cell r="F892"/>
          <cell r="G892"/>
          <cell r="H892"/>
        </row>
        <row r="893">
          <cell r="D893"/>
          <cell r="E893"/>
          <cell r="F893"/>
          <cell r="G893"/>
          <cell r="H893"/>
        </row>
        <row r="894">
          <cell r="D894"/>
          <cell r="E894"/>
          <cell r="F894"/>
          <cell r="G894"/>
          <cell r="H894"/>
        </row>
        <row r="895">
          <cell r="D895"/>
          <cell r="E895"/>
          <cell r="F895"/>
          <cell r="G895"/>
          <cell r="H895"/>
        </row>
        <row r="896">
          <cell r="D896"/>
          <cell r="E896"/>
          <cell r="F896"/>
          <cell r="G896"/>
          <cell r="H896"/>
        </row>
        <row r="897">
          <cell r="D897"/>
          <cell r="E897"/>
          <cell r="F897"/>
          <cell r="G897"/>
          <cell r="H897"/>
        </row>
        <row r="898">
          <cell r="D898"/>
          <cell r="E898"/>
          <cell r="F898"/>
          <cell r="G898"/>
          <cell r="H898"/>
        </row>
        <row r="899">
          <cell r="D899"/>
          <cell r="E899"/>
          <cell r="F899"/>
          <cell r="G899"/>
          <cell r="H899"/>
        </row>
        <row r="900">
          <cell r="D900"/>
          <cell r="E900"/>
          <cell r="F900"/>
          <cell r="G900"/>
          <cell r="H900"/>
        </row>
        <row r="901">
          <cell r="D901"/>
          <cell r="E901"/>
          <cell r="F901"/>
          <cell r="G901"/>
          <cell r="H901"/>
        </row>
        <row r="902">
          <cell r="D902"/>
          <cell r="E902"/>
          <cell r="F902"/>
          <cell r="G902"/>
          <cell r="H902"/>
        </row>
        <row r="903">
          <cell r="D903"/>
          <cell r="E903"/>
          <cell r="F903"/>
          <cell r="G903"/>
          <cell r="H903"/>
        </row>
        <row r="904">
          <cell r="D904"/>
          <cell r="E904"/>
          <cell r="F904"/>
          <cell r="G904"/>
          <cell r="H904"/>
        </row>
        <row r="905">
          <cell r="D905"/>
          <cell r="E905"/>
          <cell r="F905"/>
          <cell r="G905"/>
          <cell r="H905"/>
        </row>
        <row r="906">
          <cell r="D906"/>
          <cell r="E906"/>
          <cell r="F906"/>
          <cell r="G906"/>
          <cell r="H906"/>
        </row>
        <row r="907">
          <cell r="D907"/>
          <cell r="E907"/>
          <cell r="F907"/>
          <cell r="G907"/>
          <cell r="H907"/>
        </row>
        <row r="908">
          <cell r="D908"/>
          <cell r="E908"/>
          <cell r="F908"/>
          <cell r="G908"/>
          <cell r="H908"/>
        </row>
        <row r="909">
          <cell r="D909"/>
          <cell r="E909"/>
          <cell r="F909"/>
          <cell r="G909"/>
          <cell r="H909"/>
        </row>
        <row r="910">
          <cell r="D910"/>
          <cell r="E910"/>
          <cell r="F910"/>
          <cell r="G910"/>
          <cell r="H910"/>
        </row>
        <row r="911">
          <cell r="D911"/>
          <cell r="E911"/>
          <cell r="F911"/>
          <cell r="G911"/>
          <cell r="H911"/>
        </row>
        <row r="912">
          <cell r="D912"/>
          <cell r="E912"/>
          <cell r="F912"/>
          <cell r="G912"/>
          <cell r="H912"/>
        </row>
        <row r="913">
          <cell r="D913"/>
          <cell r="E913"/>
          <cell r="F913"/>
          <cell r="G913"/>
          <cell r="H913"/>
        </row>
        <row r="914">
          <cell r="D914"/>
          <cell r="E914"/>
          <cell r="F914"/>
          <cell r="G914"/>
          <cell r="H914"/>
        </row>
        <row r="915">
          <cell r="D915"/>
          <cell r="E915"/>
          <cell r="F915"/>
          <cell r="G915"/>
          <cell r="H915"/>
        </row>
        <row r="916">
          <cell r="D916"/>
          <cell r="E916"/>
          <cell r="F916"/>
          <cell r="G916"/>
          <cell r="H916"/>
        </row>
        <row r="917">
          <cell r="D917"/>
          <cell r="E917"/>
          <cell r="F917"/>
          <cell r="G917"/>
          <cell r="H917"/>
        </row>
        <row r="918">
          <cell r="D918"/>
          <cell r="E918"/>
          <cell r="F918"/>
          <cell r="G918"/>
          <cell r="H918"/>
        </row>
        <row r="919">
          <cell r="D919"/>
          <cell r="E919"/>
          <cell r="F919"/>
          <cell r="G919"/>
          <cell r="H919"/>
        </row>
        <row r="920">
          <cell r="D920"/>
          <cell r="E920"/>
          <cell r="F920"/>
          <cell r="G920"/>
          <cell r="H920"/>
        </row>
        <row r="921">
          <cell r="D921"/>
          <cell r="E921"/>
          <cell r="F921"/>
          <cell r="G921"/>
          <cell r="H921"/>
        </row>
        <row r="922">
          <cell r="D922"/>
          <cell r="E922"/>
          <cell r="F922"/>
          <cell r="G922"/>
          <cell r="H922"/>
        </row>
        <row r="923">
          <cell r="D923"/>
          <cell r="E923"/>
          <cell r="F923"/>
          <cell r="G923"/>
          <cell r="H923"/>
        </row>
        <row r="924">
          <cell r="D924"/>
          <cell r="E924"/>
          <cell r="F924"/>
          <cell r="G924"/>
          <cell r="H924"/>
        </row>
        <row r="925">
          <cell r="D925"/>
          <cell r="E925"/>
          <cell r="F925"/>
          <cell r="G925"/>
          <cell r="H925"/>
        </row>
        <row r="926">
          <cell r="D926"/>
          <cell r="E926"/>
          <cell r="F926"/>
          <cell r="G926"/>
          <cell r="H926"/>
        </row>
        <row r="927">
          <cell r="D927"/>
          <cell r="E927"/>
          <cell r="F927"/>
          <cell r="G927"/>
          <cell r="H927"/>
        </row>
        <row r="928">
          <cell r="D928"/>
          <cell r="E928"/>
          <cell r="F928"/>
          <cell r="G928"/>
          <cell r="H928"/>
        </row>
        <row r="929">
          <cell r="D929"/>
          <cell r="E929"/>
          <cell r="F929"/>
          <cell r="G929"/>
          <cell r="H929"/>
        </row>
        <row r="930">
          <cell r="D930"/>
          <cell r="E930"/>
          <cell r="F930"/>
          <cell r="G930"/>
          <cell r="H930"/>
        </row>
        <row r="931">
          <cell r="D931"/>
          <cell r="E931"/>
          <cell r="F931"/>
          <cell r="G931"/>
          <cell r="H931"/>
        </row>
        <row r="932">
          <cell r="D932"/>
          <cell r="E932"/>
          <cell r="F932"/>
          <cell r="G932"/>
          <cell r="H932"/>
        </row>
        <row r="933">
          <cell r="D933"/>
          <cell r="E933"/>
          <cell r="F933"/>
          <cell r="G933"/>
          <cell r="H933"/>
        </row>
        <row r="934">
          <cell r="D934"/>
          <cell r="E934"/>
          <cell r="F934"/>
          <cell r="G934"/>
          <cell r="H934"/>
        </row>
        <row r="935">
          <cell r="D935"/>
          <cell r="E935"/>
          <cell r="F935"/>
          <cell r="G935"/>
          <cell r="H935"/>
        </row>
        <row r="936">
          <cell r="D936"/>
          <cell r="E936"/>
          <cell r="F936"/>
          <cell r="G936"/>
          <cell r="H936"/>
        </row>
        <row r="937">
          <cell r="D937"/>
          <cell r="E937"/>
          <cell r="F937"/>
          <cell r="G937"/>
          <cell r="H937"/>
        </row>
        <row r="938">
          <cell r="D938"/>
          <cell r="E938"/>
          <cell r="F938"/>
          <cell r="G938"/>
          <cell r="H938"/>
        </row>
        <row r="939">
          <cell r="D939"/>
          <cell r="E939"/>
          <cell r="F939"/>
          <cell r="G939"/>
          <cell r="H939"/>
        </row>
        <row r="940">
          <cell r="D940"/>
          <cell r="E940"/>
          <cell r="F940"/>
          <cell r="G940"/>
          <cell r="H940"/>
        </row>
        <row r="941">
          <cell r="D941"/>
          <cell r="E941"/>
          <cell r="F941"/>
          <cell r="G941"/>
          <cell r="H941"/>
        </row>
        <row r="942">
          <cell r="D942"/>
          <cell r="E942"/>
          <cell r="F942"/>
          <cell r="G942"/>
          <cell r="H942"/>
        </row>
        <row r="943">
          <cell r="D943"/>
          <cell r="E943"/>
          <cell r="F943"/>
          <cell r="G943"/>
          <cell r="H943"/>
        </row>
        <row r="944">
          <cell r="D944"/>
          <cell r="E944"/>
          <cell r="F944"/>
          <cell r="G944"/>
          <cell r="H944"/>
        </row>
        <row r="945">
          <cell r="D945"/>
          <cell r="E945"/>
          <cell r="F945"/>
          <cell r="G945"/>
          <cell r="H945"/>
        </row>
        <row r="946">
          <cell r="D946"/>
          <cell r="E946"/>
          <cell r="F946"/>
          <cell r="G946"/>
          <cell r="H946"/>
        </row>
        <row r="947">
          <cell r="D947"/>
          <cell r="E947"/>
          <cell r="F947"/>
          <cell r="G947"/>
          <cell r="H947"/>
        </row>
        <row r="948">
          <cell r="D948"/>
          <cell r="E948"/>
          <cell r="F948"/>
          <cell r="G948"/>
          <cell r="H948"/>
        </row>
        <row r="949">
          <cell r="D949"/>
          <cell r="E949"/>
          <cell r="F949"/>
          <cell r="G949"/>
          <cell r="H949"/>
        </row>
        <row r="950">
          <cell r="D950"/>
          <cell r="E950"/>
          <cell r="F950"/>
          <cell r="G950"/>
          <cell r="H950"/>
        </row>
        <row r="951">
          <cell r="D951"/>
          <cell r="E951"/>
          <cell r="F951"/>
          <cell r="G951"/>
          <cell r="H951"/>
        </row>
        <row r="952">
          <cell r="D952"/>
          <cell r="E952"/>
          <cell r="F952"/>
          <cell r="G952"/>
          <cell r="H952"/>
        </row>
        <row r="953">
          <cell r="D953"/>
          <cell r="E953"/>
          <cell r="F953"/>
          <cell r="G953"/>
          <cell r="H953"/>
        </row>
        <row r="954">
          <cell r="D954"/>
          <cell r="E954"/>
          <cell r="F954"/>
          <cell r="G954"/>
          <cell r="H954"/>
        </row>
        <row r="955">
          <cell r="D955"/>
          <cell r="E955"/>
          <cell r="F955"/>
          <cell r="G955"/>
          <cell r="H955"/>
        </row>
        <row r="956">
          <cell r="D956"/>
          <cell r="E956"/>
          <cell r="F956"/>
          <cell r="G956"/>
          <cell r="H956"/>
        </row>
        <row r="957">
          <cell r="D957"/>
          <cell r="E957"/>
          <cell r="F957"/>
          <cell r="G957"/>
          <cell r="H957"/>
        </row>
        <row r="958">
          <cell r="D958"/>
          <cell r="E958"/>
          <cell r="F958"/>
          <cell r="G958"/>
          <cell r="H958"/>
        </row>
        <row r="959">
          <cell r="D959"/>
          <cell r="E959"/>
          <cell r="F959"/>
          <cell r="G959"/>
          <cell r="H959"/>
        </row>
        <row r="960">
          <cell r="D960"/>
          <cell r="E960"/>
          <cell r="F960"/>
          <cell r="G960"/>
          <cell r="H960"/>
        </row>
        <row r="961">
          <cell r="D961"/>
          <cell r="E961"/>
          <cell r="F961"/>
          <cell r="G961"/>
          <cell r="H961"/>
        </row>
        <row r="962">
          <cell r="D962"/>
          <cell r="E962"/>
          <cell r="F962"/>
          <cell r="G962"/>
          <cell r="H962"/>
        </row>
        <row r="963">
          <cell r="D963"/>
          <cell r="E963"/>
          <cell r="F963"/>
          <cell r="G963"/>
          <cell r="H963"/>
        </row>
        <row r="964">
          <cell r="D964"/>
          <cell r="E964"/>
          <cell r="F964"/>
          <cell r="G964"/>
          <cell r="H964"/>
        </row>
        <row r="965">
          <cell r="D965"/>
          <cell r="E965"/>
          <cell r="F965"/>
          <cell r="G965"/>
          <cell r="H965"/>
        </row>
        <row r="966">
          <cell r="D966"/>
          <cell r="E966"/>
          <cell r="F966"/>
          <cell r="G966"/>
          <cell r="H966"/>
        </row>
        <row r="967">
          <cell r="D967"/>
          <cell r="E967"/>
          <cell r="F967"/>
          <cell r="G967"/>
          <cell r="H967"/>
        </row>
        <row r="968">
          <cell r="D968"/>
          <cell r="E968"/>
          <cell r="F968"/>
          <cell r="G968"/>
          <cell r="H968"/>
        </row>
        <row r="969">
          <cell r="D969"/>
          <cell r="E969"/>
          <cell r="F969"/>
          <cell r="G969"/>
          <cell r="H969"/>
        </row>
        <row r="970">
          <cell r="D970"/>
          <cell r="E970"/>
          <cell r="F970"/>
          <cell r="G970"/>
          <cell r="H970"/>
        </row>
        <row r="971">
          <cell r="D971"/>
          <cell r="E971"/>
          <cell r="F971"/>
          <cell r="G971"/>
          <cell r="H971"/>
        </row>
        <row r="972">
          <cell r="D972"/>
          <cell r="E972"/>
          <cell r="F972"/>
          <cell r="G972"/>
          <cell r="H972"/>
        </row>
        <row r="973">
          <cell r="D973"/>
          <cell r="E973"/>
          <cell r="F973"/>
          <cell r="G973"/>
          <cell r="H973"/>
        </row>
        <row r="974">
          <cell r="D974"/>
          <cell r="E974"/>
          <cell r="F974"/>
          <cell r="G974"/>
          <cell r="H974"/>
        </row>
        <row r="975">
          <cell r="D975"/>
          <cell r="E975"/>
          <cell r="F975"/>
          <cell r="G975"/>
          <cell r="H975"/>
        </row>
        <row r="976">
          <cell r="D976"/>
          <cell r="E976"/>
          <cell r="F976"/>
          <cell r="G976"/>
          <cell r="H976"/>
        </row>
        <row r="977">
          <cell r="D977"/>
          <cell r="E977"/>
          <cell r="F977"/>
          <cell r="G977"/>
          <cell r="H977"/>
        </row>
        <row r="978">
          <cell r="D978"/>
          <cell r="E978"/>
          <cell r="F978"/>
          <cell r="G978"/>
          <cell r="H978"/>
        </row>
        <row r="979">
          <cell r="D979"/>
          <cell r="E979"/>
          <cell r="F979"/>
          <cell r="G979"/>
          <cell r="H979"/>
        </row>
        <row r="980">
          <cell r="D980"/>
          <cell r="E980"/>
          <cell r="F980"/>
          <cell r="G980"/>
          <cell r="H980"/>
        </row>
        <row r="981">
          <cell r="D981"/>
          <cell r="E981"/>
          <cell r="F981"/>
          <cell r="G981"/>
          <cell r="H981"/>
        </row>
        <row r="982">
          <cell r="D982"/>
          <cell r="E982"/>
          <cell r="F982"/>
          <cell r="G982"/>
          <cell r="H982"/>
        </row>
        <row r="983">
          <cell r="D983"/>
          <cell r="E983"/>
          <cell r="F983"/>
          <cell r="G983"/>
          <cell r="H983"/>
        </row>
        <row r="984">
          <cell r="D984"/>
          <cell r="E984"/>
          <cell r="F984"/>
          <cell r="G984"/>
          <cell r="H984"/>
        </row>
        <row r="985">
          <cell r="D985"/>
          <cell r="E985"/>
          <cell r="F985"/>
          <cell r="G985"/>
          <cell r="H985"/>
        </row>
        <row r="986">
          <cell r="D986"/>
          <cell r="E986"/>
          <cell r="F986"/>
          <cell r="G986"/>
          <cell r="H986"/>
        </row>
        <row r="987">
          <cell r="D987"/>
          <cell r="E987"/>
          <cell r="F987"/>
          <cell r="G987"/>
          <cell r="H987"/>
        </row>
        <row r="988">
          <cell r="D988"/>
          <cell r="E988"/>
          <cell r="F988"/>
          <cell r="G988"/>
          <cell r="H988"/>
        </row>
        <row r="989">
          <cell r="D989"/>
          <cell r="E989"/>
          <cell r="F989"/>
          <cell r="G989"/>
          <cell r="H989"/>
        </row>
        <row r="990">
          <cell r="D990"/>
          <cell r="E990"/>
          <cell r="F990"/>
          <cell r="G990"/>
          <cell r="H990"/>
        </row>
        <row r="991">
          <cell r="D991"/>
          <cell r="E991"/>
          <cell r="F991"/>
          <cell r="G991"/>
          <cell r="H991"/>
        </row>
        <row r="992">
          <cell r="D992"/>
          <cell r="E992"/>
          <cell r="F992"/>
          <cell r="G992"/>
          <cell r="H992"/>
        </row>
        <row r="993">
          <cell r="D993"/>
          <cell r="E993"/>
          <cell r="F993"/>
          <cell r="G993"/>
          <cell r="H993"/>
        </row>
        <row r="994">
          <cell r="D994"/>
          <cell r="E994"/>
          <cell r="F994"/>
          <cell r="G994"/>
          <cell r="H994"/>
        </row>
        <row r="995">
          <cell r="D995"/>
          <cell r="E995"/>
          <cell r="F995"/>
          <cell r="G995"/>
          <cell r="H995"/>
        </row>
        <row r="996">
          <cell r="D996"/>
          <cell r="E996"/>
          <cell r="F996"/>
          <cell r="G996"/>
          <cell r="H996"/>
        </row>
        <row r="997">
          <cell r="D997"/>
          <cell r="E997"/>
          <cell r="F997"/>
          <cell r="G997"/>
          <cell r="H997"/>
        </row>
        <row r="998">
          <cell r="D998"/>
          <cell r="E998"/>
          <cell r="F998"/>
          <cell r="G998"/>
          <cell r="H998"/>
        </row>
        <row r="999">
          <cell r="D999"/>
          <cell r="E999"/>
          <cell r="F999"/>
          <cell r="G999"/>
          <cell r="H999"/>
        </row>
        <row r="1000">
          <cell r="D1000"/>
          <cell r="E1000"/>
          <cell r="F1000"/>
          <cell r="G1000"/>
          <cell r="H1000"/>
        </row>
        <row r="1001">
          <cell r="D1001"/>
          <cell r="E1001"/>
          <cell r="F1001"/>
          <cell r="G1001"/>
          <cell r="H1001"/>
        </row>
        <row r="1002">
          <cell r="D1002"/>
          <cell r="E1002"/>
          <cell r="F1002"/>
          <cell r="G1002"/>
          <cell r="H1002"/>
        </row>
        <row r="1003">
          <cell r="D1003"/>
          <cell r="E1003"/>
          <cell r="F1003"/>
          <cell r="G1003"/>
          <cell r="H1003"/>
        </row>
        <row r="1004">
          <cell r="D1004"/>
          <cell r="E1004"/>
          <cell r="F1004"/>
          <cell r="G1004"/>
          <cell r="H1004"/>
        </row>
        <row r="1005">
          <cell r="D1005"/>
          <cell r="E1005"/>
          <cell r="F1005"/>
          <cell r="G1005"/>
          <cell r="H1005"/>
        </row>
        <row r="1006">
          <cell r="D1006"/>
          <cell r="E1006"/>
          <cell r="F1006"/>
          <cell r="G1006"/>
          <cell r="H1006"/>
        </row>
        <row r="1007">
          <cell r="D1007"/>
          <cell r="E1007"/>
          <cell r="F1007"/>
          <cell r="G1007"/>
          <cell r="H1007"/>
        </row>
        <row r="1008">
          <cell r="D1008"/>
          <cell r="E1008"/>
          <cell r="F1008"/>
          <cell r="G1008"/>
          <cell r="H1008"/>
        </row>
        <row r="1009">
          <cell r="D1009"/>
          <cell r="E1009"/>
          <cell r="F1009"/>
          <cell r="G1009"/>
          <cell r="H1009"/>
        </row>
        <row r="1010">
          <cell r="D1010"/>
          <cell r="E1010"/>
          <cell r="F1010"/>
          <cell r="G1010"/>
          <cell r="H1010"/>
        </row>
        <row r="1011">
          <cell r="D1011"/>
          <cell r="E1011"/>
          <cell r="F1011"/>
          <cell r="G1011"/>
          <cell r="H1011"/>
        </row>
        <row r="1012">
          <cell r="D1012"/>
          <cell r="E1012"/>
          <cell r="F1012"/>
          <cell r="G1012"/>
          <cell r="H1012"/>
        </row>
        <row r="1013">
          <cell r="D1013"/>
          <cell r="E1013"/>
          <cell r="F1013"/>
          <cell r="G1013"/>
          <cell r="H1013"/>
        </row>
        <row r="1014">
          <cell r="D1014"/>
          <cell r="E1014"/>
          <cell r="F1014"/>
          <cell r="G1014"/>
          <cell r="H1014"/>
        </row>
        <row r="1015">
          <cell r="D1015"/>
          <cell r="E1015"/>
          <cell r="F1015"/>
          <cell r="G1015"/>
          <cell r="H1015"/>
        </row>
        <row r="1016">
          <cell r="D1016"/>
          <cell r="E1016"/>
          <cell r="F1016"/>
          <cell r="G1016"/>
          <cell r="H1016"/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rcos"/>
      <sheetName val="Hoja1"/>
      <sheetName val="Maquinas Activas por Prestador "/>
      <sheetName val="Roll Out GSJ"/>
      <sheetName val="KM-COSTOS"/>
    </sheetNames>
    <sheetDataSet>
      <sheetData sheetId="0"/>
      <sheetData sheetId="1"/>
      <sheetData sheetId="2">
        <row r="1">
          <cell r="D1" t="str">
            <v>Serie</v>
          </cell>
        </row>
      </sheetData>
      <sheetData sheetId="3">
        <row r="2">
          <cell r="A2" t="str">
            <v>79G4NYG</v>
          </cell>
          <cell r="B2" t="str">
            <v>MENOS DE 10 KM</v>
          </cell>
          <cell r="D2">
            <v>700025400</v>
          </cell>
          <cell r="E2" t="str">
            <v>Normal Superior Sarmiento</v>
          </cell>
          <cell r="F2" t="str">
            <v>Avenida Alem 31 sur</v>
          </cell>
          <cell r="G2" t="str">
            <v>Capital</v>
          </cell>
        </row>
        <row r="3">
          <cell r="A3" t="str">
            <v>79G4MKW</v>
          </cell>
          <cell r="B3" t="str">
            <v>MENOS DE 10 KM</v>
          </cell>
          <cell r="D3">
            <v>700025400</v>
          </cell>
          <cell r="E3" t="str">
            <v>Normal Superior Sarmiento</v>
          </cell>
          <cell r="F3" t="str">
            <v>Avenida Alem 31 sur</v>
          </cell>
          <cell r="G3" t="str">
            <v>Capital</v>
          </cell>
        </row>
        <row r="4">
          <cell r="A4" t="str">
            <v>79G3BNX</v>
          </cell>
          <cell r="B4" t="str">
            <v>MENOS DE 10 KM</v>
          </cell>
          <cell r="D4">
            <v>700025400</v>
          </cell>
          <cell r="E4" t="str">
            <v>JINZ "Bienvenida Sarmiento" Normal Superior Sarmiento</v>
          </cell>
          <cell r="F4" t="str">
            <v>Francisco N. Laprida Oeste 440</v>
          </cell>
          <cell r="G4" t="str">
            <v>Capital</v>
          </cell>
        </row>
        <row r="5">
          <cell r="A5" t="str">
            <v>ZELLBJFJB0006QB</v>
          </cell>
          <cell r="B5" t="str">
            <v>MENOS DE 10 KM</v>
          </cell>
          <cell r="D5">
            <v>700025400</v>
          </cell>
          <cell r="E5" t="str">
            <v>ISFD Normal Superior Sarmiento</v>
          </cell>
          <cell r="F5" t="str">
            <v>Avenida Alem 31 sur</v>
          </cell>
          <cell r="G5" t="str">
            <v>Capital</v>
          </cell>
        </row>
        <row r="6">
          <cell r="A6" t="str">
            <v>79G2RY5</v>
          </cell>
          <cell r="B6" t="str">
            <v>MENOS DE 10 KM</v>
          </cell>
          <cell r="D6">
            <v>700042000</v>
          </cell>
          <cell r="E6" t="str">
            <v>Antonio Torres</v>
          </cell>
          <cell r="F6" t="str">
            <v>General Acha 426 sur</v>
          </cell>
          <cell r="G6" t="str">
            <v>Capital</v>
          </cell>
        </row>
        <row r="7">
          <cell r="A7" t="str">
            <v>79G2RVL</v>
          </cell>
          <cell r="B7" t="str">
            <v>MENOS DE 10 KM</v>
          </cell>
          <cell r="D7">
            <v>700027600</v>
          </cell>
          <cell r="E7" t="str">
            <v>E.P.E.T. N° 1 ING. ROGELIO BOERO</v>
          </cell>
          <cell r="F7" t="str">
            <v>Manuel Belgrano Este 250</v>
          </cell>
          <cell r="G7" t="str">
            <v>Capital</v>
          </cell>
        </row>
        <row r="8">
          <cell r="A8" t="str">
            <v>79G1CGM</v>
          </cell>
          <cell r="B8" t="str">
            <v>MENOS DE 10 KM</v>
          </cell>
          <cell r="D8">
            <v>700002500</v>
          </cell>
          <cell r="E8" t="str">
            <v>MANUEL BELGRANO</v>
          </cell>
          <cell r="F8" t="str">
            <v>Salv. M del Carril y Lat. De Circunvalación</v>
          </cell>
          <cell r="G8" t="str">
            <v>Capital</v>
          </cell>
        </row>
        <row r="9">
          <cell r="A9" t="str">
            <v>79G49B0</v>
          </cell>
          <cell r="B9" t="str">
            <v>https://www.google.com/maps/dir/Catamarca+Sur+664,+San+Juan/Bachillerato+Jose+Manuel+Estrada,+San+Juan+Norte,+J5413+Chimbas,+San+Juan/@-31.5300182,-68.5991989,9876m/data=!3m1!1e3!4m15!4m14!1m5!1m1!1s0x9681402690dd76eb:0x4b283f8fe10ce3f3!2m2!1d-68.5293761!2d-31.5426363!1m5!1m1!1s0x968141660f7c88b5:0xbbd752c0fd7e2acf!2m2!1d-68.590715!2d-31.5052412!3e0!5i1?entry=ttu&amp;g_ep=EgoyMDI1MDUxMy4xIKXMDSoASAFQAw%3D%3D</v>
          </cell>
          <cell r="C9">
            <v>12.5</v>
          </cell>
          <cell r="D9">
            <v>700028100</v>
          </cell>
          <cell r="E9" t="str">
            <v>Escuela Bachillerato José Manuel Estrada</v>
          </cell>
          <cell r="F9" t="str">
            <v>Calle Tambor de Tacuarí Lote 18 Manzana L Barrio Costanera</v>
          </cell>
          <cell r="G9" t="str">
            <v>Chimbas</v>
          </cell>
        </row>
        <row r="10">
          <cell r="A10" t="str">
            <v>79G4MLN</v>
          </cell>
          <cell r="B10" t="str">
            <v>https://www.google.com/maps/dir/Catamarca+Sur+664,+San+Juan/Escuela+Agroindustrial+Mons.+Dr.juan+Antonio+Videla+Cuello,+Villa+San+Isidro,+San+Juan/@-30.8337082,-69.9475496,318359m/data=!3m2!1e3!4b1!4m14!4m13!1m5!1m1!1s0x9681402690dd76eb:0x4b283f8fe10ce3f3!2m2!1d-68.5293761!2d-31.5426363!1m5!1m1!1s0x96834340c1233727:0x629838a159d60afa!2m2!1d-68.7058977!2d-30.143312!3e0?entry=ttu&amp;g_ep=EgoyMDI1MDUwNy4wIKXMDSoASAFQAw%3D%3D</v>
          </cell>
          <cell r="C10">
            <v>170</v>
          </cell>
          <cell r="D10">
            <v>700040500</v>
          </cell>
          <cell r="E10" t="str">
            <v>Escuela Agroindustrial Juan Antonio Videla Cuello</v>
          </cell>
          <cell r="F10" t="str">
            <v>CALLE NUEVA S/N SAN ISIDRO</v>
          </cell>
          <cell r="G10" t="str">
            <v>Jachal</v>
          </cell>
        </row>
        <row r="11">
          <cell r="A11" t="str">
            <v>79G3LDC</v>
          </cell>
          <cell r="B11" t="str">
            <v>https://www.google.com/maps/dir/Catamarca+Sur+664,+San+Juan/Escuela+Normal+Superior+Fray+Justo+Santa+Mar%C3%ADa+De+Oro,+San+Jose+de+Jachal,+San+Juan/@-30.8852257,-69.2922837,159094m/data=!3m2!1e3!4b1!4m14!4m13!1m5!1m1!1s0x9681402690dd76eb:0x4b283f8fe10ce3f3!2m2!1d-68.5293761!2d-31.5426363!1m5!1m1!1s0x968367b014e7d7e1:0xb85d7057c6dbd035!2m2!1d-68.7498693!2d-30.2429646!3e0?entry=ttu&amp;g_ep=EgoyMDI1MDUwNy4wIKXMDSoASAFQAw%3D%3D</v>
          </cell>
          <cell r="C11">
            <v>158</v>
          </cell>
          <cell r="D11">
            <v>700051400</v>
          </cell>
          <cell r="E11" t="str">
            <v>Escuela Normal Superior Fray Justo Santa María de Oro</v>
          </cell>
          <cell r="F11" t="str">
            <v>Rivadavia 854</v>
          </cell>
          <cell r="G11" t="str">
            <v>Jachal</v>
          </cell>
        </row>
        <row r="12">
          <cell r="A12" t="str">
            <v>793H5HR</v>
          </cell>
          <cell r="B12" t="str">
            <v>MENOS DE 10 KM</v>
          </cell>
          <cell r="D12">
            <v>700046200</v>
          </cell>
          <cell r="E12" t="str">
            <v>CENTRO POLIVALENTE DE ARTE</v>
          </cell>
          <cell r="F12" t="str">
            <v>Gral Mariano Acha Sur 1896</v>
          </cell>
          <cell r="G12" t="str">
            <v>Capital</v>
          </cell>
        </row>
        <row r="13">
          <cell r="A13" t="str">
            <v>79G5RN7</v>
          </cell>
          <cell r="B13" t="str">
            <v>MENOS DE 10 KM</v>
          </cell>
          <cell r="D13">
            <v>700011900</v>
          </cell>
          <cell r="E13" t="str">
            <v>MANUEL LAINEZ</v>
          </cell>
          <cell r="F13" t="str">
            <v>Gral Mariano Acha Sur 1836</v>
          </cell>
          <cell r="G13" t="str">
            <v>Capital</v>
          </cell>
        </row>
        <row r="14">
          <cell r="A14" t="str">
            <v>79G2T48</v>
          </cell>
          <cell r="B14" t="str">
            <v>MENOS DE 10 KM</v>
          </cell>
          <cell r="D14">
            <v>700098400</v>
          </cell>
          <cell r="E14" t="str">
            <v>JINZ N°41 MANUEL LAINEZ</v>
          </cell>
          <cell r="F14" t="str">
            <v>Gral Mariano Acha Sur 1836</v>
          </cell>
          <cell r="G14" t="str">
            <v>Capital</v>
          </cell>
        </row>
        <row r="15">
          <cell r="A15" t="str">
            <v>79G6094</v>
          </cell>
          <cell r="B15" t="str">
            <v>MENOS DE 10 KM</v>
          </cell>
          <cell r="D15">
            <v>700062200</v>
          </cell>
          <cell r="E15" t="str">
            <v>LICEO PAULA ALBARRACIN DE SARMIENTO</v>
          </cell>
          <cell r="F15" t="str">
            <v>Santa Fe Este 252</v>
          </cell>
          <cell r="G15" t="str">
            <v>Capital</v>
          </cell>
        </row>
        <row r="16">
          <cell r="A16" t="str">
            <v>79G4V0R</v>
          </cell>
          <cell r="B16" t="str">
            <v>MENOS DE 10 KM</v>
          </cell>
          <cell r="D16">
            <v>700061700</v>
          </cell>
          <cell r="E16" t="str">
            <v>COLEGIO NACIONAL MONS. DR. PABLO CABRERA</v>
          </cell>
          <cell r="F16" t="str">
            <v>Santa Fe Este 252</v>
          </cell>
          <cell r="G16" t="str">
            <v>Capital</v>
          </cell>
        </row>
        <row r="17">
          <cell r="A17" t="str">
            <v>79G5VDY</v>
          </cell>
          <cell r="B17" t="str">
            <v>MENOS DE 10 KM</v>
          </cell>
          <cell r="D17">
            <v>700062700</v>
          </cell>
          <cell r="E17" t="str">
            <v>Escuela Secundaria Comercio Nocturna Dr Santiago Cortinez</v>
          </cell>
          <cell r="F17" t="str">
            <v>Santa Fe Este 252</v>
          </cell>
          <cell r="G17" t="str">
            <v>Capital</v>
          </cell>
        </row>
        <row r="18">
          <cell r="A18" t="str">
            <v>79G729F</v>
          </cell>
          <cell r="B18" t="str">
            <v>MENOS DE 10 KM</v>
          </cell>
          <cell r="D18">
            <v>700080000</v>
          </cell>
          <cell r="E18" t="str">
            <v>Escuela Secundaria General Ingeniero Enrrique Mosconi</v>
          </cell>
          <cell r="F18" t="str">
            <v>Jorge Luiz Borges s\n Barrio Natania XV</v>
          </cell>
          <cell r="G18" t="str">
            <v>Capital</v>
          </cell>
        </row>
        <row r="19">
          <cell r="A19" t="str">
            <v>79G6TLY</v>
          </cell>
          <cell r="B19" t="str">
            <v>MENOS DE 10 KM</v>
          </cell>
          <cell r="D19">
            <v>700092000</v>
          </cell>
          <cell r="E19" t="str">
            <v>Escuela Hebe Almeida de Gargiulo (Policia Federal)</v>
          </cell>
          <cell r="F19" t="str">
            <v>Calle Cordoba y Porres Este</v>
          </cell>
          <cell r="G19" t="str">
            <v>Chimbas</v>
          </cell>
        </row>
        <row r="20">
          <cell r="A20" t="str">
            <v>79G1BWZ</v>
          </cell>
          <cell r="B20" t="str">
            <v>MENOS DE 10 KM</v>
          </cell>
          <cell r="D20">
            <v>700035600</v>
          </cell>
          <cell r="E20" t="str">
            <v>Escuela Policia Federal Argentina</v>
          </cell>
          <cell r="F20" t="str">
            <v>Bandera Argentina Este 690</v>
          </cell>
          <cell r="G20" t="str">
            <v>Chimbas</v>
          </cell>
        </row>
        <row r="21">
          <cell r="A21" t="str">
            <v>79G496L</v>
          </cell>
          <cell r="B21" t="str">
            <v>MENOS DE 10 KM</v>
          </cell>
          <cell r="C21">
            <v>0</v>
          </cell>
          <cell r="D21">
            <v>700001500</v>
          </cell>
          <cell r="E21" t="str">
            <v>Escuela General de la Nación Enrrique Mosconi</v>
          </cell>
          <cell r="F21" t="str">
            <v>Periodistas Argentinos 5983 (o)</v>
          </cell>
          <cell r="G21" t="str">
            <v>Rivadavia</v>
          </cell>
        </row>
        <row r="22">
          <cell r="A22" t="str">
            <v>7944B1F</v>
          </cell>
          <cell r="B22" t="str">
            <v>https://www.google.com/maps/dir/Catamarca+Sur+664,+San+Juan/Barrio+Valle+Grande,+Calle+Chacabuco+Sur,+Rivadavia,+San+Juan/@-31.5586144,-68.6048576,9873m/data=!3m2!1e3!4b1!4m14!4m13!1m5!1m1!1s0x9681402690dd76eb:0x4b283f8fe10ce3f3!2m2!1d-68.5293761!2d-31.5426363!1m5!1m1!1s0x968140bdee5ed25d:0xf9e8e516dc3a0580!2m2!1d-68.5970696!2d-31.5678728!3e0?entry=ttu&amp;g_ep=EgoyMDI1MDUwNy4wIKXMDSoASAFQAw%3D%3D</v>
          </cell>
          <cell r="C22">
            <v>11.4</v>
          </cell>
          <cell r="D22">
            <v>700106500</v>
          </cell>
          <cell r="E22" t="str">
            <v>Escuela de Educacion Secunadaria Barrio Valle Grande</v>
          </cell>
          <cell r="F22" t="str">
            <v>Proyectada 23 Valle Grande Frente Mza 20</v>
          </cell>
          <cell r="G22" t="str">
            <v>Rawson</v>
          </cell>
        </row>
        <row r="23">
          <cell r="A23" t="str">
            <v>79G3Z6G</v>
          </cell>
          <cell r="B23" t="str">
            <v>https://www.google.com/maps/dir/Catamarca+Sur+664,+San+Juan/Barrio+Valle+Grande,+Calle+Chacabuco+Sur,+Rivadavia,+San+Juan/@-31.5586144,-68.6048576,9873m/data=!3m2!1e3!4b1!4m14!4m13!1m5!1m1!1s0x9681402690dd76eb:0x4b283f8fe10ce3f3!2m2!1d-68.5293761!2d-31.5426363!1m5!1m1!1s0x968140bdee5ed25d:0xf9e8e516dc3a0580!2m2!1d-68.5970696!2d-31.5678728!3e0?entry=ttu&amp;g_ep=EgoyMDI1MDUwNy4wIKXMDSoASAFQAw%3D%3D</v>
          </cell>
          <cell r="C23">
            <v>11.4</v>
          </cell>
          <cell r="D23">
            <v>700106300</v>
          </cell>
          <cell r="E23" t="str">
            <v>Escuela de Educacion Primaria Barrio Valle Grande</v>
          </cell>
          <cell r="F23" t="str">
            <v>Proyectada XXIII Valle Grande Frente Mza 20</v>
          </cell>
          <cell r="G23" t="str">
            <v>Rawson</v>
          </cell>
        </row>
        <row r="24">
          <cell r="A24" t="str">
            <v>79G3Z60</v>
          </cell>
          <cell r="B24" t="str">
            <v>https://www.google.com/maps/dir/Catamarca+Sur+664,+San+Juan/Barrio+Valle+Grande,+Calle+Chacabuco+Sur,+Rivadavia,+San+Juan/@-31.5586144,-68.6048576,9873m/data=!3m2!1e3!4b1!4m14!4m13!1m5!1m1!1s0x9681402690dd76eb:0x4b283f8fe10ce3f3!2m2!1d-68.5293761!2d-31.5426363!1m5!1m1!1s0x968140bdee5ed25d:0xf9e8e516dc3a0580!2m2!1d-68.5970696!2d-31.5678728!3e0?entry=ttu&amp;g_ep=EgoyMDI1MDUwNy4wIKXMDSoASAFQAw%3D%3D</v>
          </cell>
          <cell r="C24">
            <v>11.4</v>
          </cell>
          <cell r="D24">
            <v>700105900</v>
          </cell>
          <cell r="E24" t="str">
            <v>Escuela de Educacion Inicial Barrio Valle Grande Nro 68</v>
          </cell>
          <cell r="F24" t="str">
            <v>Proyectada 23 Valle Grande Frente Mza 20</v>
          </cell>
          <cell r="G24" t="str">
            <v>Rawson</v>
          </cell>
        </row>
        <row r="25">
          <cell r="A25" t="str">
            <v xml:space="preserve">79G3Z6H </v>
          </cell>
          <cell r="B25" t="str">
            <v>MENOS DE 10 KM</v>
          </cell>
          <cell r="D25">
            <v>700060500</v>
          </cell>
          <cell r="E25" t="str">
            <v>Normal Superior General San Martin</v>
          </cell>
          <cell r="F25" t="str">
            <v>Calle Estados Unidos 500 sur</v>
          </cell>
          <cell r="G25" t="str">
            <v>Capital</v>
          </cell>
        </row>
        <row r="26">
          <cell r="A26" t="str">
            <v>79G6XHW</v>
          </cell>
          <cell r="B26" t="str">
            <v>MENOS DE 10 KM</v>
          </cell>
          <cell r="D26">
            <v>700060500</v>
          </cell>
          <cell r="E26" t="str">
            <v>Normal Superior General San Martin</v>
          </cell>
          <cell r="F26" t="str">
            <v>Calle Estados Unidos 500 sur</v>
          </cell>
          <cell r="G26" t="str">
            <v>Capital</v>
          </cell>
        </row>
        <row r="27">
          <cell r="A27" t="str">
            <v>7946P78</v>
          </cell>
          <cell r="B27" t="str">
            <v>MENOS DE 10 KM</v>
          </cell>
          <cell r="D27">
            <v>700060500</v>
          </cell>
          <cell r="E27" t="str">
            <v>Normal Superior General San Martin</v>
          </cell>
          <cell r="F27" t="str">
            <v>Calle Estados Unidos 500 sur</v>
          </cell>
          <cell r="G27" t="str">
            <v>Capital</v>
          </cell>
        </row>
        <row r="28">
          <cell r="A28" t="str">
            <v>79G321H</v>
          </cell>
          <cell r="B28" t="str">
            <v>MENOS DE 10 KM</v>
          </cell>
          <cell r="D28">
            <v>700060500</v>
          </cell>
          <cell r="E28" t="str">
            <v>ISFD Normal Superior General San Martin</v>
          </cell>
          <cell r="F28" t="str">
            <v>Calle Estados Unidos 500 sur</v>
          </cell>
          <cell r="G28" t="str">
            <v>Capital</v>
          </cell>
        </row>
        <row r="29">
          <cell r="A29" t="str">
            <v>79G2RYG</v>
          </cell>
          <cell r="B29" t="str">
            <v>MENOS DE 10 KM</v>
          </cell>
          <cell r="D29">
            <v>700060000</v>
          </cell>
          <cell r="E29" t="str">
            <v>Fray Justo Santa María de Oro</v>
          </cell>
          <cell r="F29" t="str">
            <v>Juan B Alberdi Oeste 175</v>
          </cell>
          <cell r="G29" t="str">
            <v>Capital</v>
          </cell>
        </row>
        <row r="30">
          <cell r="A30" t="str">
            <v>79G3LKH</v>
          </cell>
          <cell r="B30" t="str">
            <v>https://www.google.com/maps/dir/Catamarca+Sur+664,+San+Juan/Escuela+Leonor+S%C3%A1nchez+de+Arancibia,+J5442+Caucete,+San+Juan/@-31.5968129,-68.4906667,19738m/data=!3m2!1e3!4b1!4m14!4m13!1m5!1m1!1s0x9681402690dd76eb:0x4b283f8fe10ce3f3!2m2!1d-68.5293761!2d-31.5426363!1m5!1m1!1s0x96810e5642ec52c9:0xf11e42f184869c0e!2m2!1d-68.2880184!2d-31.6523474!3e0?entry=ttu&amp;g_ep=EgoyMDI1MDUwNy4wIKXMDSoASAFQAw%3D%3D</v>
          </cell>
          <cell r="C30">
            <v>29.5</v>
          </cell>
          <cell r="D30">
            <v>700036500</v>
          </cell>
          <cell r="E30" t="str">
            <v>LEONOR SÁNCHEZ DE ARANCIBIA.</v>
          </cell>
          <cell r="F30" t="str">
            <v>Ruta Provincial N° 270 S/N</v>
          </cell>
          <cell r="G30" t="str">
            <v>Caucete</v>
          </cell>
        </row>
        <row r="31">
          <cell r="A31" t="str">
            <v>79G1BZR</v>
          </cell>
          <cell r="B31" t="str">
            <v>https://www.google.com/maps/dir/Catamarca+Sur+664,+San+Juan/Normal+Superior+General+Manuel+Belgrano,+Caucete,+San+Juan/@-31.5978361,-68.4838328,19737m/data=!3m2!1e3!4b1!4m14!4m13!1m5!1m1!1s0x9681402690dd76eb:0x4b283f8fe10ce3f3!2m2!1d-68.5293761!2d-31.5426363!1m5!1m1!1s0x96810ee2d3f8ce4f:0x20ac166fffb53060!2m2!1d-68.2736487!2d-31.6541979!3e0?entry=ttu&amp;g_ep=EgoyMDI1MDUwNy4wIKXMDSoASAFQAw%3D%3D</v>
          </cell>
          <cell r="C31">
            <v>30.8</v>
          </cell>
          <cell r="D31">
            <v>700039800</v>
          </cell>
          <cell r="E31" t="str">
            <v>Normal Superior General Manuel Belgrano</v>
          </cell>
          <cell r="F31" t="str">
            <v> 9 de Julio 964 S</v>
          </cell>
          <cell r="G31" t="str">
            <v>Caucete</v>
          </cell>
        </row>
        <row r="32">
          <cell r="A32" t="str">
            <v>79G4MMH</v>
          </cell>
          <cell r="B32" t="str">
            <v>https://www.google.com/maps/dir/Catamarca+Sur+664,+San+Juan/Normal+Superior+General+Manuel+Belgrano,+Caucete,+San+Juan/@-31.5978361,-68.4838328,19737m/data=!3m2!1e3!4b1!4m14!4m13!1m5!1m1!1s0x9681402690dd76eb:0x4b283f8fe10ce3f3!2m2!1d-68.5293761!2d-31.5426363!1m5!1m1!1s0x96810ee2d3f8ce4f:0x20ac166fffb53060!2m2!1d-68.2736487!2d-31.6541979!3e0?entry=ttu&amp;g_ep=EgoyMDI1MDUwNy4wIKXMDSoASAFQAw%3D%3D</v>
          </cell>
          <cell r="C32">
            <v>30.8</v>
          </cell>
          <cell r="D32">
            <v>700039800</v>
          </cell>
          <cell r="E32" t="str">
            <v>Normal Superior General Manuel Belgrano</v>
          </cell>
          <cell r="F32" t="str">
            <v> 9 de Julio 964 S</v>
          </cell>
          <cell r="G32" t="str">
            <v>Caucete</v>
          </cell>
        </row>
        <row r="33">
          <cell r="A33" t="str">
            <v>793PZH7</v>
          </cell>
          <cell r="B33" t="str">
            <v>https://www.google.com/maps/dir/Catamarca+Sur+664,+San+Juan/Normal+Superior+General+Manuel+Belgrano,+Caucete,+San+Juan/@-31.5978361,-68.4838328,19737m/data=!3m2!1e3!4b1!4m14!4m13!1m5!1m1!1s0x9681402690dd76eb:0x4b283f8fe10ce3f3!2m2!1d-68.5293761!2d-31.5426363!1m5!1m1!1s0x96810ee2d3f8ce4f:0x20ac166fffb53060!2m2!1d-68.2736487!2d-31.6541979!3e0?entry=ttu&amp;g_ep=EgoyMDI1MDUwNy4wIKXMDSoASAFQAw%3D%3D</v>
          </cell>
          <cell r="C33">
            <v>30.8</v>
          </cell>
          <cell r="D33">
            <v>700039800</v>
          </cell>
          <cell r="E33" t="str">
            <v>Normal Superior General Manuel Belgrano</v>
          </cell>
          <cell r="F33" t="str">
            <v> 9 de Julio 964 S</v>
          </cell>
          <cell r="G33" t="str">
            <v>Caucete</v>
          </cell>
        </row>
        <row r="34">
          <cell r="A34" t="str">
            <v>79G3BPX</v>
          </cell>
          <cell r="B34" t="str">
            <v>https://www.google.com/maps/dir/Catamarca+Sur+664,+San+Juan/Normal+Superior+General+Manuel+Belgrano,+Caucete,+San+Juan/@-31.5978361,-68.4838328,19737m/data=!3m2!1e3!4b1!4m14!4m13!1m5!1m1!1s0x9681402690dd76eb:0x4b283f8fe10ce3f3!2m2!1d-68.5293761!2d-31.5426363!1m5!1m1!1s0x96810ee2d3f8ce4f:0x20ac166fffb53060!2m2!1d-68.2736487!2d-31.6541979!3e0?entry=ttu&amp;g_ep=EgoyMDI1MDUwNy4wIKXMDSoASAFQAw%3D%3D</v>
          </cell>
          <cell r="C34">
            <v>30.8</v>
          </cell>
          <cell r="D34">
            <v>700039800</v>
          </cell>
          <cell r="E34" t="str">
            <v>Normal Superior General Manuel Belgrano</v>
          </cell>
          <cell r="F34" t="str">
            <v> 9 de Julio 964 S</v>
          </cell>
          <cell r="G34" t="str">
            <v>Caucete</v>
          </cell>
        </row>
        <row r="35">
          <cell r="A35" t="str">
            <v>79G1C6R</v>
          </cell>
          <cell r="B35" t="str">
            <v>https://www.google.com/maps/dir/Catamarca+Sur+664,+San+Juan/Escuela+Jose+Chirapozu,+182,+Urquiza,+Caucete,+San+Juan/@-31.5974154,-68.4882394,19737m/data=!3m2!1e3!4b1!4m14!4m13!1m5!1m1!1s0x9681402690dd76eb:0x4b283f8fe10ce3f3!2m2!1d-68.5293761!2d-31.5426363!1m5!1m1!1s0x96810efec14b3df9:0x5bc7af569443c69!2m2!1d-68.2820166!2d-31.6534989!3e0?entry=ttu&amp;g_ep=EgoyMDI1MDUwNy4wIKXMDSoASAFQAw%3D%3D</v>
          </cell>
          <cell r="C35">
            <v>29.9</v>
          </cell>
          <cell r="D35">
            <v>700036700</v>
          </cell>
          <cell r="E35" t="str">
            <v>JOSÉ CHIRAPOZU.</v>
          </cell>
          <cell r="F35" t="str">
            <v>Urquiza 182</v>
          </cell>
          <cell r="G35" t="str">
            <v>Caucete</v>
          </cell>
        </row>
        <row r="36">
          <cell r="A36" t="str">
            <v>793FWTX</v>
          </cell>
          <cell r="B36" t="str">
            <v>MENOS DE 10 KM</v>
          </cell>
          <cell r="D36">
            <v>700058300</v>
          </cell>
          <cell r="E36" t="str">
            <v>Angel de Rojas</v>
          </cell>
          <cell r="F36" t="str">
            <v>Agustín Gómez 169 este Capital</v>
          </cell>
          <cell r="G36" t="str">
            <v>Capital</v>
          </cell>
        </row>
        <row r="37">
          <cell r="A37" t="str">
            <v>79G3LKD</v>
          </cell>
          <cell r="B37" t="str">
            <v>MENOS DE 10 KM</v>
          </cell>
          <cell r="D37">
            <v>700060700</v>
          </cell>
          <cell r="E37" t="str">
            <v>Escuela Primaria Capital Federal</v>
          </cell>
          <cell r="F37" t="str">
            <v>Calle Saturnino Sarassa 1425 oeste</v>
          </cell>
          <cell r="G37" t="str">
            <v>Capital</v>
          </cell>
        </row>
        <row r="38">
          <cell r="A38" t="str">
            <v>79G2T27</v>
          </cell>
          <cell r="B38" t="str">
            <v>https://www.google.com/maps/dir/Catamarca+Sur+664,+San+Juan/Escuela+De+Comercio+Alfonsina+Storni,+Caucete,+San+Juan/@-31.5988805,-68.489315,19737m/data=!3m2!1e3!4b1!4m14!4m13!1m5!1m1!1s0x9681402690dd76eb:0x4b283f8fe10ce3f3!2m2!1d-68.5293761!2d-31.5426363!1m5!1m1!1s0x96810eff0544eb9f:0x92802e8c0565adc9!2m2!1d-68.2841692!2d-31.6550209!3e0?entry=ttu&amp;g_ep=EgoyMDI1MDUwNy4wIKXMDSoASAFQAw%3D%3D</v>
          </cell>
          <cell r="C38">
            <v>29.9</v>
          </cell>
          <cell r="D38">
            <v>700039900</v>
          </cell>
          <cell r="E38" t="str">
            <v>De Comercio Alfonsina Storni</v>
          </cell>
          <cell r="F38" t="str">
            <v>San Martín Y Córdoba</v>
          </cell>
          <cell r="G38" t="str">
            <v>Caucete</v>
          </cell>
        </row>
        <row r="39">
          <cell r="A39" t="str">
            <v>793PG51</v>
          </cell>
          <cell r="B39" t="str">
            <v>https://www.google.com/maps/dir/Catamarca+Sur+664,+San+Juan/E.N.I.+N%C2%B024+Juan+Pablo+II,+J5442+Caucete,+San+Juan/@-31.5992113,-68.4878781,19737m/data=!3m2!1e3!4b1!4m14!4m13!1m5!1m1!1s0x9681402690dd76eb:0x4b283f8fe10ce3f3!2m2!1d-68.5293761!2d-31.5426363!1m5!1m1!1s0x96810fa6d0177f95:0xcb5d7e7ab2065df3!2m2!1d-68.2821184!2d-31.6543323!3e0?entry=ttu&amp;g_ep=EgoyMDI1MDUwNy4wIKXMDSoASAFQAw%3D%3D</v>
          </cell>
          <cell r="C39">
            <v>29.8</v>
          </cell>
          <cell r="D39">
            <v>700085700</v>
          </cell>
          <cell r="E39" t="str">
            <v>ENI N°24 San Juan Pablo II</v>
          </cell>
          <cell r="F39" t="str">
            <v>José Ignacio de la Roza</v>
          </cell>
          <cell r="G39" t="str">
            <v>Caucete</v>
          </cell>
        </row>
        <row r="40">
          <cell r="A40" t="str">
            <v>79G2T13</v>
          </cell>
          <cell r="B40" t="str">
            <v>https://www.google.com/maps/dir/Catamarca+Sur+664,+San+Juan/Alejandro+Fleming,+J%C3%A1chal,+San+Juan/@-30.123633,-68.7256595,3543m/data=!3m1!1e3!4m14!4m13!1m5!1m1!1s0x9681402690dd76eb:0x4b283f8fe10ce3f3!2m2!1d-68.5293761!2d-31.5426363!1m5!1m1!1s0x96835d06904b1b75:0xeb613218b9a14119!2m2!1d-68.7210546!2d-30.1215004!3e0?entry=ttu&amp;g_ep=EgoyMDI1MDUwNy4wIKXMDSoASAFQAw%3D%3D</v>
          </cell>
          <cell r="C40">
            <v>173</v>
          </cell>
          <cell r="D40">
            <v>700040600</v>
          </cell>
          <cell r="E40" t="str">
            <v>Dr. Alejandro Fleming</v>
          </cell>
          <cell r="F40" t="str">
            <v>Gran China S/N. Gran China</v>
          </cell>
          <cell r="G40" t="str">
            <v>Jachal</v>
          </cell>
        </row>
        <row r="41">
          <cell r="A41" t="str">
            <v>79G4MFK</v>
          </cell>
          <cell r="B41" t="str">
            <v>https://www.google.com/maps/dir/Catamarca+Sur+664,+San+Juan/Escuela+de+Nivel+Medio+de+Niquivil,+S%C3%A1n+Mart%C3%ADn,+Niquivil,+J%C3%A1chal,+San+Juan/@-30.9681474,-69.2646255,158956m/data=!3m2!1e3!4b1!4m14!4m13!1m5!1m1!1s0x9681402690dd76eb:0x4b283f8fe10ce3f3!2m2!1d-68.5293761!2d-31.5426363!1m5!1m1!1s0x968371672ace8a69:0x1fa957c68700f734!2m2!1d-68.6945626!2d-30.3993822!3e0?entry=ttu&amp;g_ep=EgoyMDI1MDUwNy4wIKXMDSoASAFQAw%3D%3D</v>
          </cell>
          <cell r="C41">
            <v>137</v>
          </cell>
          <cell r="D41">
            <v>700052100</v>
          </cell>
          <cell r="E41" t="str">
            <v>Nivel Medio de Niquivil</v>
          </cell>
          <cell r="F41" t="str">
            <v>Ex Ruta 40</v>
          </cell>
          <cell r="G41" t="str">
            <v>Jachal</v>
          </cell>
        </row>
        <row r="42">
          <cell r="A42" t="str">
            <v>7946PC9</v>
          </cell>
          <cell r="B42" t="str">
            <v>https://www.google.com/maps/dir/Catamarca+Sur+664,+San+Juan/Escuela+de+Nivel+Medio+Pampa+Vieja,+San+Juan/@-30.8815461,-69.2874209,159100m/data=!3m2!1e3!4b1!4m14!4m13!1m5!1m1!1s0x9681402690dd76eb:0x4b283f8fe10ce3f3!2m2!1d-68.5293761!2d-31.5426363!1m5!1m1!1s0x96836843a62faa2d:0x3f3833ec08e73fd2!2m2!1d-68.6880159!2d-30.2283284!3e0?entry=ttu&amp;g_ep=EgoyMDI1MDUwNy4wIKXMDSoASAFQAw%3D%3D</v>
          </cell>
          <cell r="C42">
            <v>164</v>
          </cell>
          <cell r="D42">
            <v>700041100</v>
          </cell>
          <cell r="E42" t="str">
            <v>Nivel Medio Pampa Vieja</v>
          </cell>
          <cell r="F42" t="str">
            <v>Patricio Lopez de Campo</v>
          </cell>
          <cell r="G42" t="str">
            <v>Jachal</v>
          </cell>
        </row>
        <row r="43">
          <cell r="A43" t="str">
            <v>793H5G7</v>
          </cell>
          <cell r="B43" t="str">
            <v>https://www.google.com/maps/dir/Catamarca+Sur+664,+San+Juan/Escuela+de+Comercio+Eusebio+de+Jesus+Dojorti,+Chubut,+Jujuy+y,+San+Jose+de+Jachal,+San+Juan/@-30.888905,-69.2843749,159088m/data=!3m2!1e3!4b1!4m14!4m13!1m5!1m1!1s0x9681402690dd76eb:0x4b283f8fe10ce3f3!2m2!1d-68.5293761!2d-31.5426363!1m5!1m1!1s0x9683675b1411871f:0x7152ee1c86e27f52!2m2!1d-68.73182!2d-30.2439275!3e0?entry=ttu&amp;g_ep=EgoyMDI1MDUwNy4wIKXMDSoASAFQAw%3D%3D</v>
          </cell>
          <cell r="C43">
            <v>157</v>
          </cell>
          <cell r="D43">
            <v>700051600</v>
          </cell>
          <cell r="E43" t="str">
            <v>De Comercio Eusebio Dojorti</v>
          </cell>
          <cell r="F43" t="str">
            <v>Jujuy y Chubut 130 B° Fronteras Argentinas</v>
          </cell>
          <cell r="G43" t="str">
            <v>Jachal</v>
          </cell>
        </row>
        <row r="44">
          <cell r="A44" t="str">
            <v>79G4MNF</v>
          </cell>
          <cell r="B44" t="str">
            <v>https://www.google.com/maps/dir/Catamarca+Sur+664,+San+Juan/Escuela+Antonio+Quaranta,+Rawson,+J5460+San+Jose+de+Jachal,+San+Juan/@-30.8903839,-69.2900093,159086m/data=!3m2!1e3!4b1!4m14!4m13!1m5!1m1!1s0x9681402690dd76eb:0x4b283f8fe10ce3f3!2m2!1d-68.5293761!2d-31.5426363!1m5!1m1!1s0x96836758ac1b710d:0x62465014fa63bf12!2m2!1d-68.7452863!2d-30.2463317!3e0?entry=ttu&amp;g_ep=EgoyMDI1MDUwNy4wIKXMDSoASAFQAw%3D%3D</v>
          </cell>
          <cell r="C44">
            <v>159</v>
          </cell>
          <cell r="D44">
            <v>700041900</v>
          </cell>
          <cell r="E44" t="str">
            <v>ANTONIO QUARANTA</v>
          </cell>
          <cell r="F44" t="str">
            <v>Rawson 843. San José de Jáchal</v>
          </cell>
          <cell r="G44" t="str">
            <v>Jachal</v>
          </cell>
        </row>
        <row r="45">
          <cell r="A45" t="str">
            <v>79G3F82</v>
          </cell>
          <cell r="B45" t="str">
            <v>MENOS DE 10 KM</v>
          </cell>
          <cell r="D45">
            <v>700027100</v>
          </cell>
          <cell r="E45" t="str">
            <v>MARIA LUISA VILLARINO DE DEL CARRIL</v>
          </cell>
          <cell r="F45" t="str">
            <v>Sargento Cabral 1737 (O)</v>
          </cell>
          <cell r="G45" t="str">
            <v>Capital</v>
          </cell>
        </row>
        <row r="46">
          <cell r="A46" t="str">
            <v>79G5M70</v>
          </cell>
          <cell r="B46" t="str">
            <v>https://www.google.com/maps/dir/Catamarca+Sur+664,+San+Juan/Escuela+Benito+Lynch,+El+Cha%C3%B1ar,+San+Juan/@-31.3541018,-68.5296262,158310m/data=!3m2!1e3!4b1!4m14!4m13!1m5!1m1!1s0x9681402690dd76eb:0x4b283f8fe10ce3f3!2m2!1d-68.5293761!2d-31.5426363!1m5!1m1!1s0x9429fedec2155555:0x28e80f0c43315d45!2m2!1d-67.3010737!2d-30.9541499!3e0?entry=ttu&amp;g_ep=EgoyMDI1MDUwNy4wIKXMDSoASAFQAw%3D%3D</v>
          </cell>
          <cell r="C46">
            <v>209</v>
          </cell>
          <cell r="D46">
            <v>700053600</v>
          </cell>
          <cell r="E46" t="str">
            <v>BENITO LYNCH</v>
          </cell>
          <cell r="F46" t="str">
            <v>San Pedro y Felipe Costa- Astica</v>
          </cell>
          <cell r="G46" t="str">
            <v>VALLE FÉRTIL</v>
          </cell>
        </row>
        <row r="47">
          <cell r="A47" t="str">
            <v>79G4MFR</v>
          </cell>
          <cell r="B47" t="str">
            <v>https://www.google.com/maps/dir/Catamarca+Sur+664,+San+Juan/Escuela+Benito+Lynch,+El+Cha%C3%B1ar,+San+Juan/@-31.3541018,-68.5296262,158310m/data=!3m2!1e3!4b1!4m14!4m13!1m5!1m1!1s0x9681402690dd76eb:0x4b283f8fe10ce3f3!2m2!1d-68.5293761!2d-31.5426363!1m5!1m1!1s0x9429fedec2155555:0x28e80f0c43315d45!2m2!1d-67.3010737!2d-30.9541499!3e0?entry=ttu&amp;g_ep=EgoyMDI1MDUwNy4wIKXMDSoASAFQAw%3D%3D</v>
          </cell>
          <cell r="C47">
            <v>209</v>
          </cell>
          <cell r="D47">
            <v>700075400</v>
          </cell>
          <cell r="E47" t="str">
            <v>Colegio Secundario de Astica</v>
          </cell>
          <cell r="F47" t="str">
            <v>San Pedro y Felipe Costa- Astica</v>
          </cell>
          <cell r="G47" t="str">
            <v>VALLE FÉRTIL</v>
          </cell>
        </row>
        <row r="48">
          <cell r="A48" t="str">
            <v>793H5L6</v>
          </cell>
          <cell r="B48" t="str">
            <v>https://www.google.com/maps/dir/Catamarca+Sur+664,+San+Juan/Escuela+Secundaria+Cirilo+Sarmiento,+San+Juan/@-31.4906776,-68.5761811,19760m/data=!3m2!1e3!4b1!4m14!4m13!1m5!1m1!1s0x9681402690dd76eb:0x4b283f8fe10ce3f3!2m2!1d-68.5293761!2d-31.5426363!1m5!1m1!1s0x9681693deacda2db:0x4cbc163ba834cc8a!2m2!1d-68.4518127!2d-31.442152!3e0?entry=ttu&amp;g_ep=EgoyMDI1MDUwNy4wIKXMDSoASAFQAw%3D%3D</v>
          </cell>
          <cell r="C48">
            <v>19.8</v>
          </cell>
          <cell r="D48">
            <v>700049500</v>
          </cell>
          <cell r="E48" t="str">
            <v>Escuela Cirilo Sarmiento</v>
          </cell>
          <cell r="F48" t="str">
            <v>AGUILERA S/N La Cañada</v>
          </cell>
          <cell r="G48" t="str">
            <v>Angaco</v>
          </cell>
        </row>
        <row r="49">
          <cell r="A49" t="str">
            <v>7946P76</v>
          </cell>
          <cell r="B49" t="str">
            <v>https://www.google.com/maps/dir/Catamarca+Sur+664,+San+Juan/Colegio+Secundario+Cacique+Angaco,+Mercedes,+Angaco,+Provincia+de+Buenos+Aires/@-31.4996084,-68.5548722,19758m/data=!3m2!1e3!4b1!4m14!4m13!1m5!1m1!1s0x9681402690dd76eb:0x4b283f8fe10ce3f3!2m2!1d-68.5293761!2d-31.5426363!1m5!1m1!1s0x96816ea3c56c8a6d:0x7bfc4d265c1e06de!2m2!1d-68.4091839!2d-31.4569512!3e0?entry=ttu&amp;g_ep=EgoyMDI1MDUwNy4wIKXMDSoASAFQAw%3D%3D</v>
          </cell>
          <cell r="C49">
            <v>21.1</v>
          </cell>
          <cell r="D49">
            <v>700049400</v>
          </cell>
          <cell r="E49" t="str">
            <v>Cacique Angaco</v>
          </cell>
          <cell r="F49" t="str">
            <v>RUTA EVA PERÓN Y LEANDRO ALEN S/N</v>
          </cell>
          <cell r="G49" t="str">
            <v>Angaco</v>
          </cell>
        </row>
        <row r="50">
          <cell r="A50" t="str">
            <v>79G60B6</v>
          </cell>
          <cell r="B50" t="str">
            <v>https://www.google.com/maps/dir/Catamarca+Sur+664,+San+Juan/Escuela+Juan+Mantovani,+J5419+Villa+Gral.+San+Martin,+San+Juan/@-31.4902519,-68.6081321,19760m/data=!3m2!1e3!4b1!4m14!4m13!1m5!1m1!1s0x9681402690dd76eb:0x4b283f8fe10ce3f3!2m2!1d-68.5293761!2d-31.5426363!1m5!1m1!1s0x9681682ae023d839:0x2b200dd667c762d2!2m2!1d-68.5219807!2d-31.4381874!3e0?entry=ttu&amp;g_ep=EgoyMDI1MDUwNy4wIKXMDSoASAFQAw%3D%3D</v>
          </cell>
          <cell r="C50">
            <v>14</v>
          </cell>
          <cell r="D50">
            <v>700037800</v>
          </cell>
          <cell r="E50" t="str">
            <v>Juan Mantovani</v>
          </cell>
          <cell r="F50" t="str">
            <v>BELGRANO 1950</v>
          </cell>
          <cell r="G50" t="str">
            <v>Albardón</v>
          </cell>
        </row>
        <row r="51">
          <cell r="A51" t="str">
            <v>793PZK2</v>
          </cell>
          <cell r="B51" t="str">
            <v>https://www.google.com/maps/dir/Catamarca+Sur+664,+San+Juan/Escuela+Juan+Mantovani,+J5419+Villa+Gral.+San+Martin,+San+Juan/@-31.4902519,-68.6081321,19760m/data=!3m2!1e3!4b1!4m14!4m13!1m5!1m1!1s0x9681402690dd76eb:0x4b283f8fe10ce3f3!2m2!1d-68.5293761!2d-31.5426363!1m5!1m1!1s0x9681682ae023d839:0x2b200dd667c762d2!2m2!1d-68.5219807!2d-31.4381874!3e0?entry=ttu&amp;g_ep=EgoyMDI1MDUwNy4wIKXMDSoASAFQAw%3D%3D</v>
          </cell>
          <cell r="C51">
            <v>14</v>
          </cell>
          <cell r="D51">
            <v>700100200</v>
          </cell>
          <cell r="E51" t="str">
            <v>Juan Mantovani</v>
          </cell>
          <cell r="F51" t="str">
            <v>CALLEJON SORIA</v>
          </cell>
          <cell r="G51" t="str">
            <v>Albardón</v>
          </cell>
        </row>
        <row r="52">
          <cell r="A52" t="str">
            <v>7946PDZ</v>
          </cell>
          <cell r="B52" t="str">
            <v>https://www.google.com/maps/dir/Catamarca+Sur+664,+San+Juan/Colegio+Gral.+Don+Toribio+de+Luzuriaga,+Nacional,+J5419+Villa+Gral.+San+Martin,+San+Juan/@-31.4851823,-68.6012244,19761m/data=!3m2!1e3!4b1!4m14!4m13!1m5!1m1!1s0x9681402690dd76eb:0x4b283f8fe10ce3f3!2m2!1d-68.5293761!2d-31.5426363!1m5!1m1!1s0x9681683633706625:0x1ec70dfe06f0b20e!2m2!1d-68.5019143!2d-31.4280533!3e0?entry=ttu&amp;g_ep=EgoyMDI1MDUwNy4wIKXMDSoASAFQAw%3D%3D</v>
          </cell>
          <cell r="C52">
            <v>16.399999999999999</v>
          </cell>
          <cell r="D52">
            <v>700002800</v>
          </cell>
          <cell r="E52" t="str">
            <v>General Don Toribio de Luzuriaga</v>
          </cell>
          <cell r="F52" t="str">
            <v>NACIONAL 593 La Laja Vº San Martín</v>
          </cell>
          <cell r="G52" t="str">
            <v>Albardón</v>
          </cell>
        </row>
        <row r="53">
          <cell r="A53" t="str">
            <v>79G3F7B</v>
          </cell>
          <cell r="B53" t="str">
            <v>https://www.google.com/maps/dir/Catamarca+Sur+664,+San+Juan/Escuela+Secundaria+Presidente+N%C3%A9stor+Carlos+Kirchner,+Campo+Afuera,+Albard%C3%B3n,+San+Juan/@-31.4818447,-68.6121553,19762m/data=!3m2!1e3!4b1!4m14!4m13!1m5!1m1!1s0x9681402690dd76eb:0x4b283f8fe10ce3f3!2m2!1d-68.5293761!2d-31.5426363!1m5!1m1!1s0x96814297ce152247:0x108d9d58b5998ceb!2m2!1d-68.5390699!2d-31.4215113!3e0?entry=ttu&amp;g_ep=EgoyMDI1MDUwNy4wIKXMDSoASAFQAw%3D%3D</v>
          </cell>
          <cell r="C53">
            <v>17</v>
          </cell>
          <cell r="D53">
            <v>700084100</v>
          </cell>
          <cell r="E53" t="str">
            <v>Presidente Nestor Carlos Kirchner</v>
          </cell>
          <cell r="F53" t="str">
            <v>Proyectada s/n SALOMÓN Campo Afuera</v>
          </cell>
          <cell r="G53" t="str">
            <v>Albardón</v>
          </cell>
        </row>
        <row r="54">
          <cell r="A54" t="str">
            <v>79G0BLG</v>
          </cell>
          <cell r="B54" t="str">
            <v>https://www.google.com/maps/dir/Catamarca+Sur+664,+San+Juan/Escuela+Adan+Quiroga,+Albard%C3%B3n,+San+Juan/@-31.4997155,-68.6295887,19758m/data=!3m2!1e3!4b1!4m14!4m13!1m5!1m1!1s0x9681402690dd76eb:0x4b283f8fe10ce3f3!2m2!1d-68.5293761!2d-31.5426363!1m5!1m1!1s0x96814251f6f6a563:0x7ea32ea0d0cd0c93!2m2!1d-68.5649969!2d-31.4571928!3e0?entry=ttu&amp;g_ep=EgoyMDI1MDUwNy4wIKXMDSoASAFQAw%3D%3D</v>
          </cell>
          <cell r="C54">
            <v>10.5</v>
          </cell>
          <cell r="D54">
            <v>700107400</v>
          </cell>
          <cell r="E54" t="str">
            <v>Adán Quiroga</v>
          </cell>
          <cell r="F54" t="str">
            <v>COMANDANTE CABOT  S/N Las Tapias</v>
          </cell>
          <cell r="G54" t="str">
            <v>Albardón</v>
          </cell>
        </row>
        <row r="55">
          <cell r="A55" t="str">
            <v>79G4V06</v>
          </cell>
          <cell r="B55" t="str">
            <v>https://www.google.com/maps/dir/Catamarca+Sur+664,+San+Juan/Escuela+Vice+Comodoro+Marambio,+Calle+Lozano+Villa+Lujan,+Albard%C3%B3n,+San+Juan/@-31.4834618,-68.5916956,19761m/data=!3m2!1e3!4b1!4m14!4m13!1m5!1m1!1s0x9681402690dd76eb:0x4b283f8fe10ce3f3!2m2!1d-68.5293761!2d-31.5426363!1m5!1m1!1s0x9681685028691ebf:0xb1be59564401711a!2m2!1d-68.4888861!2d-31.4248554!3e0?entry=ttu&amp;g_ep=EgoyMDI1MDUwNy4wIKXMDSoASAFQAw%3D%3D</v>
          </cell>
          <cell r="C55">
            <v>16.899999999999999</v>
          </cell>
          <cell r="D55">
            <v>700037600</v>
          </cell>
          <cell r="E55" t="str">
            <v>Vicecomodoro Gustavo Marambio</v>
          </cell>
          <cell r="F55" t="str">
            <v>Calle Lozano s/n zona del Topón</v>
          </cell>
          <cell r="G55" t="str">
            <v>Albardón</v>
          </cell>
        </row>
        <row r="56">
          <cell r="A56" t="str">
            <v>79G5VGF</v>
          </cell>
          <cell r="B56" t="str">
            <v>https://www.google.com/maps/dir/Catamarca+Sur+664,+San+Juan/Escuela+Vice+Comodoro+Marambio,+Calle+Lozano+Villa+Lujan,+Albard%C3%B3n,+San+Juan/@-31.4834618,-68.5916956,19761m/data=!3m2!1e3!4b1!4m14!4m13!1m5!1m1!1s0x9681402690dd76eb:0x4b283f8fe10ce3f3!2m2!1d-68.5293761!2d-31.5426363!1m5!1m1!1s0x9681685028691ebf:0xb1be59564401711a!2m2!1d-68.4888861!2d-31.4248554!3e0?entry=ttu&amp;g_ep=EgoyMDI1MDUwNy4wIKXMDSoASAFQAw%3D%3D</v>
          </cell>
          <cell r="C56">
            <v>16.899999999999999</v>
          </cell>
          <cell r="D56">
            <v>700110200</v>
          </cell>
          <cell r="E56" t="str">
            <v>Vicecomodoro Gustavo Marambio</v>
          </cell>
          <cell r="F56" t="str">
            <v>Calle Lozano s/n zona del Topón</v>
          </cell>
          <cell r="G56" t="str">
            <v>Albardón</v>
          </cell>
        </row>
        <row r="57">
          <cell r="A57" t="str">
            <v>79G2RY0</v>
          </cell>
          <cell r="B57" t="str">
            <v>MENOS DE 10 KM</v>
          </cell>
          <cell r="D57">
            <v>700026400</v>
          </cell>
          <cell r="E57" t="str">
            <v>EPET N°4</v>
          </cell>
          <cell r="F57" t="str">
            <v>AV. JOSE IGNACIO DE LA ROZA OESTE 325 CIUDAD</v>
          </cell>
          <cell r="G57" t="str">
            <v>Capital</v>
          </cell>
        </row>
        <row r="58">
          <cell r="B58" t="str">
            <v>https://www.google.com/maps/dir/Catamarca+Sur+664,+J5402GSN+San+Juan/Escuela+Fray+Cayetano+Rodriguez,+San+Juan/@-31.3439789,-68.5296262,158327m/data=!3m2!1e3!4b1!4m14!4m13!1m5!1m1!1s0x9681402690dd76eb:0x4b283f8fe10ce3f3!2m2!1d-68.5293761!2d-31.5426363!1m5!1m1!1s0x9429f915fc278d99:0x83109f3eb0b8f7fd!2m2!1d-67.249715!2d-30.9343391!3e0?entry=ttu&amp;g_ep=EgoyMDI1MDUxMy4xIKXMDSoASAFQAw%3D%3D</v>
          </cell>
          <cell r="C58">
            <v>214</v>
          </cell>
          <cell r="D58">
            <v>700053500</v>
          </cell>
          <cell r="E58" t="str">
            <v>Fray Cayetano Rodríguez</v>
          </cell>
          <cell r="F58" t="str">
            <v>ruta n*503 - Baldes de Astica</v>
          </cell>
          <cell r="G58" t="str">
            <v>VALLE FÉRTIL</v>
          </cell>
        </row>
        <row r="59">
          <cell r="B59" t="str">
            <v>https://www.google.com/maps/dir/Catamarca+Sur+664,+J5402GSN+San+Juan/Escuela+De+La+Patria,+RP510,+San+Juan/@-31.4698671,-68.5074597,158115m/data=!3m1!1e3!4m14!4m13!1m5!1m1!1s0x9681402690dd76eb:0x4b283f8fe10ce3f3!2m2!1d-68.5293761!2d-31.5426363!1m5!1m1!1s0x942a0ef54000f47f:0x1d05affc9ef9a107!2m2!1d-67.1662412!2d-31.2016304!3e0?entry=ttu&amp;g_ep=EgoyMDI1MDUxMy4xIKXMDSoASAFQAw%3D%3D</v>
          </cell>
          <cell r="C59">
            <v>180</v>
          </cell>
          <cell r="D59">
            <v>700017800</v>
          </cell>
          <cell r="E59" t="str">
            <v>Escuela de la Patria</v>
          </cell>
          <cell r="F59" t="str">
            <v>huella s/ Num - Baldes del sur de Chucuma</v>
          </cell>
          <cell r="G59" t="str">
            <v>VALLE FÉRTIL</v>
          </cell>
        </row>
        <row r="60">
          <cell r="B60" t="str">
            <v>https://www.google.com/maps/dir/Catamarca+Sur+664,+J5402GSN+San+Juan/Escuela+MARIA+ELENA+VIDART+DE+MAURIN,+San+Juan/@-31.2790894,-68.5296265,158436m/data=!3m2!1e3!4b1!4m14!4m13!1m5!1m1!1s0x9681402690dd76eb:0x4b283f8fe10ce3f3!2m2!1d-68.5293761!2d-31.5426363!1m5!1m1!1s0x9429e28f13ce6029:0x3622ead2e74a0e77!2m2!1d-67.3663303!2d-30.8041418!3e0?entry=ttu&amp;g_ep=EgoyMDI1MDUxMy4xIKXMDSoASAFQAw%3D%3D</v>
          </cell>
          <cell r="C60">
            <v>228</v>
          </cell>
          <cell r="D60">
            <v>700054400</v>
          </cell>
          <cell r="E60" t="str">
            <v>María Elena Vidart de Maurin</v>
          </cell>
          <cell r="F60" t="str">
            <v>Ruta N° 510 s/n. Agua Cercada</v>
          </cell>
          <cell r="G60" t="str">
            <v>VALLE FÉRTIL</v>
          </cell>
        </row>
        <row r="61">
          <cell r="A61" t="str">
            <v>79G2T1M</v>
          </cell>
          <cell r="B61" t="str">
            <v>https://www.google.com/maps/dir/Catamarca+Sur+664,+San+Juan/Escuela+Benito+Lynch,+El+Cha%C3%B1ar,+San+Juan/@-31.3541018,-68.5296262,158310m/data=!3m2!1e3!4b1!4m14!4m13!1m5!1m1!1s0x9681402690dd76eb:0x4b283f8fe10ce3f3!2m2!1d-68.5293761!2d-31.5426363!1m5!1m1!1s0x9429fedec2155555:0x28e80f0c43315d45!2m2!1d-67.3010737!2d-30.9541499!3e0?entry=ttu&amp;g_ep=EgoyMDI1MDUwNy4wIKXMDSoASAFQAw%3D%3D</v>
          </cell>
          <cell r="C61">
            <v>209</v>
          </cell>
          <cell r="D61">
            <v>700099508</v>
          </cell>
          <cell r="E61" t="str">
            <v>JINZ N°7</v>
          </cell>
          <cell r="F61" t="str">
            <v>SIERRAS DE RIVERO S/N</v>
          </cell>
          <cell r="G61" t="str">
            <v>VALLE FÉRTIL</v>
          </cell>
        </row>
        <row r="62">
          <cell r="A62" t="str">
            <v>79G12ZB</v>
          </cell>
          <cell r="B62" t="str">
            <v>https://www.google.com/maps/dir/Catamarca+Sur+664,+San+Juan/Escuela+Benito+Lynch,+El+Cha%C3%B1ar,+San+Juan/@-31.3541018,-68.5296262,158310m/data=!3m2!1e3!4b1!4m14!4m13!1m5!1m1!1s0x9681402690dd76eb:0x4b283f8fe10ce3f3!2m2!1d-68.5293761!2d-31.5426363!1m5!1m1!1s0x9429fedec2155555:0x28e80f0c43315d45!2m2!1d-67.3010737!2d-30.9541499!3e0?entry=ttu&amp;g_ep=EgoyMDI1MDUwNy4wIKXMDSoASAFQAw%3D%3D</v>
          </cell>
          <cell r="C62">
            <v>209</v>
          </cell>
          <cell r="D62">
            <v>700079401</v>
          </cell>
          <cell r="E62" t="str">
            <v>EEE Multimple de Valle Fertil Anexo Astica</v>
          </cell>
          <cell r="F62" t="str">
            <v>San Pedro y Felipe Costa- Astica</v>
          </cell>
          <cell r="G62" t="str">
            <v>VALLE FÉRTIL</v>
          </cell>
        </row>
        <row r="63">
          <cell r="B63" t="str">
            <v>https://www.google.com/maps/dir/Catamarca+Sur+664,+J5402GSN+San+Juan/Escuela+Presbitero+Cayetano+de+Quiroga,+Usno,+San+Juan/@-31.1599072,-68.529627,158636m/data=!3m1!1e3!4m14!4m13!1m5!1m1!1s0x9681402690dd76eb:0x4b283f8fe10ce3f3!2m2!1d-68.5293761!2d-31.5426363!1m5!1m1!1s0x9682714cd6e897c3:0x38826668c759485b!2m2!1d-67.5415433!2d-30.5668235!3e0?entry=ttu&amp;g_ep=EgoyMDI1MDUxMy4xIKXMDSoASAFQAw%3D%3D</v>
          </cell>
          <cell r="C63">
            <v>261</v>
          </cell>
          <cell r="D63">
            <v>700099000</v>
          </cell>
          <cell r="E63" t="str">
            <v>Presbítero Cayetano Quiroga</v>
          </cell>
          <cell r="F63" t="str">
            <v>RUTA 510 (N)USNO- VALLE FÉRTIL-</v>
          </cell>
          <cell r="G63" t="str">
            <v>VALLE FÉRTIL</v>
          </cell>
        </row>
        <row r="64">
          <cell r="B64" t="str">
            <v>https://www.google.com/maps/dir/Catamarca+Sur+664,+J5402GSN+San+Juan/Patricias+Sanjuaninas+%26+General+Paz,+Villa+San+Agust%C3%ADn,+Valle+F%C3%A9rtil,+San+Juan/@-31.1959865,-68.5296269,158576m/data=!3m2!1e3!4b1!4m14!4m13!1m5!1m1!1s0x9681402690dd76eb:0x4b283f8fe10ce3f3!2m2!1d-68.5293761!2d-31.5426363!1m5!1m1!1s0x96827489898d404b:0x6823bc58fbccbe1e!2m2!1d-67.4576634!2d-30.6409373!3e0?entry=ttu&amp;g_ep=EgoyMDI1MDUxMy4xIKXMDSoASAFQAw%3D%3D</v>
          </cell>
          <cell r="C64">
            <v>250</v>
          </cell>
          <cell r="D64">
            <v>700085800</v>
          </cell>
          <cell r="E64" t="str">
            <v>ENI N°18 Profesora Gladys Noemí Peralta</v>
          </cell>
          <cell r="F64" t="str">
            <v>Patricias Sanjuaninas y General Paz</v>
          </cell>
          <cell r="G64" t="str">
            <v>VALLE FÉRTIL</v>
          </cell>
        </row>
        <row r="65">
          <cell r="B65" t="str">
            <v>https://www.google.com/maps/dir/Catamarca+Sur+664,+J5402GSN+San+Juan/Colegio+Superior+N%C2%B0+1+Fuerza+A%C3%A9rea+Argentina,+G%C3%BCemes,+Villa+San+Agust%C3%ADn,+San+Juan/@-30.6355289,-67.4731491,5928m/data=!3m1!1e3!4m14!4m13!1m5!1m1!1s0x9681402690dd76eb:0x4b283f8fe10ce3f3!2m2!1d-68.5293761!2d-31.5426363!1m5!1m1!1s0x968275e03800ef9d:0xb9ee357cb79b36ad!2m2!1d-67.4595939!2d-30.6372204!3e0?entry=ttu&amp;g_ep=EgoyMDI1MDUxMy4xIKXMDSoASAFQAw%3D%3D</v>
          </cell>
          <cell r="C65">
            <v>250</v>
          </cell>
          <cell r="D65">
            <v>700017900</v>
          </cell>
          <cell r="E65" t="str">
            <v>Colegio Superior N°1 Fuerza Aérea Argentina</v>
          </cell>
          <cell r="F65" t="str">
            <v>Mitre y Güemes s/n San Agustín de Valle Fertil</v>
          </cell>
          <cell r="G65" t="str">
            <v>VALLE FÉRTIL</v>
          </cell>
        </row>
        <row r="66">
          <cell r="A66" t="str">
            <v>79G3HT3</v>
          </cell>
          <cell r="B66" t="str">
            <v>MENOS DE 10 KM</v>
          </cell>
          <cell r="D66">
            <v>700061600</v>
          </cell>
          <cell r="E66" t="str">
            <v>EPET N°5</v>
          </cell>
          <cell r="F66" t="str">
            <v>Las Heras Sur 516</v>
          </cell>
          <cell r="G66" t="str">
            <v>Capital</v>
          </cell>
        </row>
        <row r="67">
          <cell r="A67" t="str">
            <v>79G6XGW</v>
          </cell>
          <cell r="B67" t="str">
            <v>MENOS DE 10 KM</v>
          </cell>
          <cell r="D67">
            <v>700093400</v>
          </cell>
          <cell r="E67" t="str">
            <v>ESTEBAN ECHEVERRIA</v>
          </cell>
          <cell r="F67" t="str">
            <v>SALTA 1279 (N) Y CIRCUMVALACIÓN</v>
          </cell>
          <cell r="G67" t="str">
            <v>Capital</v>
          </cell>
        </row>
        <row r="68">
          <cell r="A68" t="str">
            <v>793H5M3</v>
          </cell>
          <cell r="B68" t="str">
            <v>https://www.google.com/maps/dir/Catamarca+Sur+664,+San+Juan/Escuela+Armada+Argentina,+Baldecitos,+San+Juan/@-31.1241966,-68.7033721,266893m/data=!3m1!1e3!4m14!4m13!1m5!1m1!1s0x9681402690dd76eb:0x4b283f8fe10ce3f3!2m2!1d-68.5293761!2d-31.5426363!1m5!1m1!1s0x96828d7bd799257b:0xa02537f0bfd98b8e!2m2!1d-67.6939678!2d-30.2215826!3e0?entry=ttu&amp;g_ep=EgoyMDI1MDUwNy4wIKXMDSoASAFQAw%3D%3D</v>
          </cell>
          <cell r="C68">
            <v>306</v>
          </cell>
          <cell r="E68" t="str">
            <v>Escuela de la Armada Argentina</v>
          </cell>
          <cell r="G68" t="str">
            <v>VALLE FÉRTIL</v>
          </cell>
        </row>
        <row r="69">
          <cell r="A69" t="str">
            <v>793H5LL</v>
          </cell>
          <cell r="B69" t="str">
            <v>https://www.google.com/maps/dir/Catamarca+Sur+664,+San+Juan/Esc.+Agrot%C3%A9cnica+Sarmiento,+Avenida+25+de+Mayo,+Media+Agua,+Sarmiento,+San+Juan/@-31.7654839,-68.7772273,78807m/data=!3m2!1e3!4b1!4m14!4m13!1m5!1m1!1s0x9681402690dd76eb:0x4b283f8fe10ce3f3!2m2!1d-68.5293761!2d-31.5426363!1m5!1m1!1s0x9680e40144e235e5:0xab34cb317d3756d6!2m2!1d-68.4242972!2d-31.9916446!3e0?entry=ttu&amp;g_ep=EgoyMDI1MDUwNy4wIKXMDSoASAFQAw%3D%3D</v>
          </cell>
          <cell r="C69">
            <v>56.4</v>
          </cell>
          <cell r="E69" t="str">
            <v>Escuela Agrotécnica Sarmiento</v>
          </cell>
          <cell r="G69" t="str">
            <v>SARMIENTO</v>
          </cell>
        </row>
        <row r="70">
          <cell r="A70" t="str">
            <v>793PG5G</v>
          </cell>
          <cell r="B70" t="str">
            <v>https://www.google.com/maps/dir/Catamarca+Sur+664,+San+Juan/Escuela+Obispo+Zapata,+Ruta+Provincial+227,+San+Juan/@-31.6164439,-68.5395436,39467m/data=!3m2!1e3!4b1!4m14!4m13!1m5!1m1!1s0x9681402690dd76eb:0x4b283f8fe10ce3f3!2m2!1d-68.5293761!2d-31.5426363!1m5!1m1!1s0x9681061dea90e8f3:0x1c4334ba97fd3e47!2m2!1d-68.2220151!2d-31.692073!3e0?entry=ttu&amp;g_ep=EgoyMDI1MDUwNy4wIKXMDSoASAFQAw%3D%3D</v>
          </cell>
          <cell r="C70">
            <v>39.4</v>
          </cell>
          <cell r="D70">
            <v>700091900</v>
          </cell>
          <cell r="E70" t="str">
            <v>Escuela Secundaria Obispo Zapata</v>
          </cell>
          <cell r="F70" t="str">
            <v>PASO DE LOS ANDES- S/N – POZO DE LOS ALGARROBOS</v>
          </cell>
          <cell r="G70" t="str">
            <v>Caucete</v>
          </cell>
        </row>
        <row r="71">
          <cell r="A71" t="str">
            <v>79G15PZ</v>
          </cell>
          <cell r="B71" t="str">
            <v>https://www.google.com/maps/dir/Catamarca+Sur+664,+San+Juan/Escuela+Republica+Argentina,+Bermejo,+San+Juan/@-31.6007398,-67.6945987,11735m/data=!3m1!1e3!4m14!4m13!1m5!1m1!1s0x9681402690dd76eb:0x4b283f8fe10ce3f3!2m2!1d-68.5293761!2d-31.5426363!1m5!1m1!1s0x9681c5f795ca8f3b:0x5d058fe831ecd61d!2m2!1d-67.6605193!2d-31.5890751!3e0?entry=ttu&amp;g_ep=EgoyMDI1MDUxMy4xIKXMDSoASAFQAw%3D%3D</v>
          </cell>
          <cell r="C71">
            <v>103</v>
          </cell>
          <cell r="D71">
            <v>700102500</v>
          </cell>
          <cell r="E71" t="str">
            <v>ESC. SEC. REPUBLICA ARGENTINA</v>
          </cell>
          <cell r="F71" t="str">
            <v>Acceso a Bermejo s/n</v>
          </cell>
          <cell r="G71" t="str">
            <v>Caucete</v>
          </cell>
        </row>
        <row r="72">
          <cell r="A72" t="str">
            <v>79G3BTP</v>
          </cell>
          <cell r="B72" t="str">
            <v>https://www.google.com/maps/dir/Catamarca+Sur+664,+San+Juan/Escuela+Hipolito+Vieytes,+Juan+Jos%C3%A9+Bustos,+Caucete,+San+Juan/@-31.5881673,-68.4814418,19739m/data=!3m2!1e3!4b1!4m14!4m13!1m5!1m1!1s0x9681402690dd76eb:0x4b283f8fe10ce3f3!2m2!1d-68.5293761!2d-31.5426363!1m5!1m1!1s0x96810f9abfe1b8d7:0x13223c4e8b1e5b9c!2m2!1d-68.2683786!2d-31.6279133!3e0?entry=ttu&amp;g_ep=EgoyMDI1MDUwNy4wIKXMDSoASAFQAw%3D%3D</v>
          </cell>
          <cell r="C72">
            <v>30</v>
          </cell>
          <cell r="D72">
            <v>700092900</v>
          </cell>
          <cell r="E72" t="str">
            <v>ESC. SEC. HIPOLITO VIEYTES</v>
          </cell>
          <cell r="F72" t="str">
            <v>JUAN JOSÉ BUSTOS- S/N- LOS MÉDANOS</v>
          </cell>
          <cell r="G72" t="str">
            <v>Caucete</v>
          </cell>
        </row>
        <row r="73">
          <cell r="A73" t="str">
            <v>79G2T44</v>
          </cell>
          <cell r="B73" t="str">
            <v>https://www.google.com/maps/dir/Catamarca+Sur+664,+San+Juan/Escuela+Andina,+Ruta+Provincial+270,+Caucete,+San+Juan/@-31.6045048,-68.4906667,19736m/data=!3m2!1e3!4b1!4m14!4m13!1m5!1m1!1s0x9681402690dd76eb:0x4b283f8fe10ce3f3!2m2!1d-68.5293761!2d-31.5426363!1m5!1m1!1s0x96810faed43f7c13:0xae39ac1301cd4f83!2m2!1d-68.2924734!2d-31.667811!3e0?entry=ttu&amp;g_ep=EgoyMDI1MDUwNy4wIKXMDSoASAFQAw%3D%3D</v>
          </cell>
          <cell r="C73">
            <v>31.1</v>
          </cell>
          <cell r="D73">
            <v>700055600</v>
          </cell>
          <cell r="E73" t="str">
            <v>Escuela Andina</v>
          </cell>
          <cell r="F73" t="str">
            <v>Colón y Ruta 270 S/N</v>
          </cell>
          <cell r="G73" t="str">
            <v>Caucete</v>
          </cell>
        </row>
        <row r="74">
          <cell r="A74" t="str">
            <v>79G72C9</v>
          </cell>
          <cell r="B74" t="str">
            <v>https://www.google.com/maps/dir/Catamarca+Sur+664,+San+Juan/Escuela+Andina,+Ruta+Provincial+270,+Caucete,+San+Juan/@-31.6045048,-68.4906667,19736m/data=!3m2!1e3!4b1!4m14!4m13!1m5!1m1!1s0x9681402690dd76eb:0x4b283f8fe10ce3f3!2m2!1d-68.5293761!2d-31.5426363!1m5!1m1!1s0x96810faed43f7c13:0xae39ac1301cd4f83!2m2!1d-68.2924734!2d-31.667811!3e0?entry=ttu&amp;g_ep=EgoyMDI1MDUwNy4wIKXMDSoASAFQAw%3D%3D</v>
          </cell>
          <cell r="C74">
            <v>31.1</v>
          </cell>
          <cell r="D74">
            <v>700115600</v>
          </cell>
          <cell r="E74" t="str">
            <v>ESC. SEC. ANDINA</v>
          </cell>
          <cell r="F74" t="str">
            <v>RUTA 270 Y CRISTÓBAL COLÓN</v>
          </cell>
          <cell r="G74" t="str">
            <v>Caucete</v>
          </cell>
        </row>
        <row r="75">
          <cell r="A75" t="str">
            <v>79G5VKP</v>
          </cell>
          <cell r="B75" t="str">
            <v>https://www.google.com/maps/dir/Catamarca+Sur+664,+San+Juan/Escuela+Pedro+Echag%C3%BCe,+Nueve+de+Julio,+Caucete,+San+Juan/@-31.582907,-68.5020374,19740m/data=!3m2!1e3!4b1!4m14!4m13!1m5!1m1!1s0x9681402690dd76eb:0x4b283f8fe10ce3f3!2m2!1d-68.5293761!2d-31.5426363!1m5!1m1!1s0x96810e0b6db41403:0x17770da403a7d594!2m2!1d-68.3132683!2d-31.6239324!3e0?entry=ttu&amp;g_ep=EgoyMDI1MDUwNy4wIKXMDSoASAFQAw%3D%3D</v>
          </cell>
          <cell r="C75">
            <v>25.7</v>
          </cell>
          <cell r="D75">
            <v>700039700</v>
          </cell>
          <cell r="E75" t="str">
            <v>PEDRO ECHAGÜE</v>
          </cell>
          <cell r="F75" t="str">
            <v>Villa Independencia</v>
          </cell>
          <cell r="G75" t="str">
            <v>Caucete</v>
          </cell>
        </row>
        <row r="76">
          <cell r="A76" t="str">
            <v>79G4MM1</v>
          </cell>
          <cell r="B76" t="str">
            <v>https://www.google.com/maps/dir/Catamarca+Sur+664,+San+Juan/Arturo+Beruti,+San+Lorenzo,+Pie+de+Palo,+San+Juan/@-31.6020299,-68.5395436,39473m/data=!3m2!1e3!4b1!4m14!4m13!1m5!1m1!1s0x9681402690dd76eb:0x4b283f8fe10ce3f3!2m2!1d-68.5293761!2d-31.5426363!1m5!1m1!1s0x968108c4048687cb:0x8fa8783c5d1d79f5!2m2!1d-68.2209862!2d-31.6633331!3e0?entry=ttu&amp;g_ep=EgoyMDI1MDUwNy4wIKXMDSoASAFQAw%3D%3D</v>
          </cell>
          <cell r="C76">
            <v>35.700000000000003</v>
          </cell>
          <cell r="D76">
            <v>700018700</v>
          </cell>
          <cell r="E76" t="str">
            <v>ARTURO BERUTI</v>
          </cell>
          <cell r="F76" t="str">
            <v>San Lorenzo S/N Pie de Palo</v>
          </cell>
          <cell r="G76" t="str">
            <v>Caucete</v>
          </cell>
        </row>
        <row r="77">
          <cell r="A77" t="str">
            <v>793G8GF</v>
          </cell>
          <cell r="B77" t="str">
            <v>https://www.google.com/maps/dir/Catamarca+Sur+664,+San+Juan/Escuela+Martin+Yanzon,+RP259,+San+Juan/@-31.6496572,-68.5606499,39453m/data=!3m2!1e3!4b1!4m14!4m13!1m5!1m1!1s0x9681402690dd76eb:0x4b283f8fe10ce3f3!2m2!1d-68.5293761!2d-31.5426363!1m5!1m1!1s0x968104225e2f08ad:0xb46cf965e83edd7f!2m2!1d-68.2490734!2d-31.7586138!3e0?entry=ttu&amp;g_ep=EgoyMDI1MDUwNy4wIKXMDSoASAFQAw%3D%3D</v>
          </cell>
          <cell r="C77">
            <v>46</v>
          </cell>
          <cell r="D77">
            <v>700057400</v>
          </cell>
          <cell r="E77" t="str">
            <v>JINZ N°9 MARTÍN YANZÓN</v>
          </cell>
          <cell r="F77" t="str">
            <v>CALLE 4 ENTRE 23 Y 24- POZO SALADO</v>
          </cell>
          <cell r="G77" t="str">
            <v>POZO SALADO</v>
          </cell>
        </row>
        <row r="78">
          <cell r="A78" t="str">
            <v>79G321P</v>
          </cell>
          <cell r="B78" t="str">
            <v>https://www.google.com/maps/dir/Catamarca+Sur+664,+San+Juan/Escuela+Martin+Yanzon,+RP259,+San+Juan/@-31.6496572,-68.5606499,39453m/data=!3m2!1e3!4b1!4m14!4m13!1m5!1m1!1s0x9681402690dd76eb:0x4b283f8fe10ce3f3!2m2!1d-68.5293761!2d-31.5426363!1m5!1m1!1s0x968104225e2f08ad:0xb46cf965e83edd7f!2m2!1d-68.2490734!2d-31.7586138!3e0?entry=ttu&amp;g_ep=EgoyMDI1MDUwNy4wIKXMDSoASAFQAw%3D%3D</v>
          </cell>
          <cell r="C78">
            <v>46</v>
          </cell>
          <cell r="D78">
            <v>700082900</v>
          </cell>
          <cell r="E78" t="str">
            <v>ESC. SEC. MARTÍN YANZÓN</v>
          </cell>
          <cell r="F78" t="str">
            <v>CALLE 4 ENTRE 23 Y 24- POZO SALADO</v>
          </cell>
          <cell r="G78" t="str">
            <v>POZO SALADO</v>
          </cell>
        </row>
        <row r="79">
          <cell r="A79" t="str">
            <v>79G2RWL</v>
          </cell>
          <cell r="B79" t="str">
            <v>https://www.google.com/maps/dir/Catamarca+Sur+664,+San+Juan/Escuela+Comandante+Tomas+Espora,+Villa+Santa+Rosa,+San+Juan/@-31.7327052,-68.4366592,23438m/data=!3m1!1e3!4m14!4m13!1m5!1m1!1s0x9681402690dd76eb:0x4b283f8fe10ce3f3!2m2!1d-68.5293761!2d-31.5426363!1m5!1m1!1s0x96811b2fa270f9b9:0x1115512a750ea170!2m2!1d-68.3438575!2d-31.7649086!3e0?entry=ttu&amp;g_ep=EgoyMDI1MDUwNy4wIKXMDSoASAFQAw%3D%3D</v>
          </cell>
          <cell r="C79">
            <v>37.6</v>
          </cell>
          <cell r="D79">
            <v>700083300</v>
          </cell>
          <cell r="E79" t="str">
            <v>ESC. SEC. CTE. TOMÁS ESPORA</v>
          </cell>
          <cell r="F79" t="str">
            <v>LA PLATA ENTRE CALLE 5 Y 6</v>
          </cell>
          <cell r="G79" t="str">
            <v>25 de Mayo</v>
          </cell>
        </row>
        <row r="80">
          <cell r="A80" t="str">
            <v>7946PF5</v>
          </cell>
          <cell r="B80" t="str">
            <v>https://www.google.com/maps/dir/Catamarca+Sur+664,+San+Juan/Escuela+Albergue+Dr.+Juan+Carlos+Navarro.,+Enc%C3%B3n,+San+Juan/@-31.8764001,-68.8217606,157424m/data=!3m2!1e3!4b1!4m14!4m13!1m5!1m1!1s0x9681402690dd76eb:0x4b283f8fe10ce3f3!2m2!1d-68.5293761!2d-31.5426363!1m5!1m1!1s0x96806bda446959ff:0xc09d1026bac5d217!2m2!1d-67.794938!2d-32.2163394!3e0?entry=ttu&amp;g_ep=EgoyMDI1MDUwNy4wIKXMDSoASAFQAw%3D%3D</v>
          </cell>
          <cell r="C80">
            <v>115</v>
          </cell>
          <cell r="D80">
            <v>700107000</v>
          </cell>
          <cell r="E80" t="str">
            <v>ESC. SEC. DR. JUAN CARLOS NAVARRO</v>
          </cell>
          <cell r="F80" t="str">
            <v>El Encón</v>
          </cell>
          <cell r="G80" t="str">
            <v>25 de Mayo</v>
          </cell>
        </row>
        <row r="81">
          <cell r="A81" t="str">
            <v>79G3HRZ</v>
          </cell>
          <cell r="B81" t="str">
            <v>https://www.google.com/maps/dir/Catamarca+Sur+664,+San+Juan/Escuela+Segundino+J.+Navarro,+Villa+Santa+Rosa,+San+Juan/@-31.6417922,-68.5904028,39456m/data=!3m2!1e3!4b1!4m14!4m13!1m5!1m1!1s0x9681402690dd76eb:0x4b283f8fe10ce3f3!2m2!1d-68.5293761!2d-31.5426363!1m5!1m1!1s0x96810523b1d1586f:0x5d7edaa467960a57!2m2!1d-68.3135955!2d-31.7430561!3e0?entry=ttu&amp;g_ep=EgoyMDI1MDUwNy4wIKXMDSoASAFQAw%3D%3D</v>
          </cell>
          <cell r="C81">
            <v>35.4</v>
          </cell>
          <cell r="D81">
            <v>700080400</v>
          </cell>
          <cell r="E81" t="str">
            <v>ESC. SEC. SEGUNDINO J. NAVARRO</v>
          </cell>
          <cell r="F81" t="str">
            <v>SAN MARTÍN – S/N Bº ÁREA 1</v>
          </cell>
          <cell r="G81" t="str">
            <v>25 de Mayo</v>
          </cell>
        </row>
        <row r="82">
          <cell r="B82" t="str">
            <v>https://www.google.com/maps/dir/Catamarca+Sur+664,+San+Juan/Bartolome+Del+Bono,+San+Juan/@-31.6818845,-68.5818359,39439m/data=!3m1!1e3!4m15!4m14!1m5!1m1!1s0x9681402690dd76eb:0x4b283f8fe10ce3f3!2m2!1d-68.5293761!2d-31.5426363!1m5!1m1!1s0x968103060f9848d7:0x45a04d443e384ee!2m2!1d-68.2915943!2d-31.8232407!3e0!5i2?entry=ttu&amp;g_ep=EgoyMDI1MDUxMy4xIKXMDSoASAFQAw%3D%3D</v>
          </cell>
          <cell r="C82">
            <v>52.3</v>
          </cell>
          <cell r="D82">
            <v>700104900</v>
          </cell>
          <cell r="E82" t="str">
            <v>BARTOLOMÉ DEL BONO</v>
          </cell>
          <cell r="F82" t="str">
            <v>RUTA 279 ENTRE 21 Y 22 LA CHIMBERA</v>
          </cell>
          <cell r="G82" t="str">
            <v>25 de Mayo</v>
          </cell>
        </row>
        <row r="83">
          <cell r="A83" t="str">
            <v>79G5RMB</v>
          </cell>
          <cell r="B83" t="str">
            <v>https://www.google.com/maps/dir/Catamarca+Sur+664,+San+Juan/Escuela+Pascual+Chena,+San+Juan/@-31.6365132,-68.5693967,39458m/data=!3m2!1e3!4b1!4m14!4m13!1m5!1m1!1s0x9681402690dd76eb:0x4b283f8fe10ce3f3!2m2!1d-68.5293761!2d-31.5426363!1m5!1m1!1s0x9681054e31f6cddb:0xcdc2566e4ab58e61!2m2!1d-68.266628!2d-31.7324954!3e0?entry=ttu&amp;g_ep=EgoyMDI1MDUwNy4wIKXMDSoASAFQAw%3D%3D</v>
          </cell>
          <cell r="C83">
            <v>38.299999999999997</v>
          </cell>
          <cell r="D83">
            <v>700109300</v>
          </cell>
          <cell r="E83" t="str">
            <v>ESC. SEC PASCUAL CHENA</v>
          </cell>
          <cell r="F83" t="str">
            <v>CALLE 2 Y 22 ENTRE CALLE 1 Y 23</v>
          </cell>
          <cell r="G83" t="str">
            <v>25 de Mayo</v>
          </cell>
        </row>
        <row r="84">
          <cell r="A84" t="str">
            <v>79G4MMF</v>
          </cell>
          <cell r="B84" t="str">
            <v>https://www.google.com/maps/dir/Catamarca+Sur+664,+San+Juan/Ram%C3%B3n+Barrera,+Villa+Santa+Rosa,+San+Juan/@-31.643736,-68.5839408,39455m/data=!3m2!1e3!4b1!4m14!4m13!1m5!1m1!1s0x9681402690dd76eb:0x4b283f8fe10ce3f3!2m2!1d-68.5293761!2d-31.5426363!1m5!1m1!1s0x96810524480a2da7:0x997ced1fd0ee6023!2m2!1d-68.3183092!2d-31.7444878!3e0?entry=ttu&amp;g_ep=EgoyMDI1MDUwNy4wIKXMDSoASAFQAw%3D%3D</v>
          </cell>
          <cell r="C84">
            <v>36.1</v>
          </cell>
          <cell r="D84">
            <v>700108900</v>
          </cell>
          <cell r="E84" t="str">
            <v>Esc. Sec. RAMON BARRERA</v>
          </cell>
          <cell r="F84" t="str">
            <v>CALLE 2 ENTRE ENFERMERA MEDINA Y RITA 270</v>
          </cell>
          <cell r="G84" t="str">
            <v>25 de Mayo</v>
          </cell>
        </row>
        <row r="85">
          <cell r="A85" t="str">
            <v>ZELLBJFJA00003H</v>
          </cell>
          <cell r="B85" t="str">
            <v>MENOS DE 10 KM</v>
          </cell>
          <cell r="D85">
            <v>700037500</v>
          </cell>
          <cell r="E85" t="str">
            <v>Saturnino Sarassa</v>
          </cell>
          <cell r="F85" t="str">
            <v>Juárez Celman 235 O B° Montaño</v>
          </cell>
          <cell r="G85" t="str">
            <v>Rawson</v>
          </cell>
        </row>
        <row r="86">
          <cell r="A86" t="str">
            <v>79G49F9</v>
          </cell>
          <cell r="B86" t="str">
            <v>MENOS DE 10 KM</v>
          </cell>
          <cell r="D86">
            <v>700093300</v>
          </cell>
          <cell r="E86" t="str">
            <v>Escuela José Manuel Estrada</v>
          </cell>
          <cell r="F86" t="str">
            <v>Chacabuco y Valle Fertil S/N</v>
          </cell>
          <cell r="G86" t="str">
            <v>Rawson</v>
          </cell>
        </row>
        <row r="87">
          <cell r="B87" t="str">
            <v>https://www.google.com/maps/dir/Catamarca+Sur+664,+J5402GSN+San+Juan/Escuela+Falucho,+J5431+Los+Berros,+San+Juan/@-31.762373,-68.8228328,78809m/data=!3m2!1e3!4b1!4m14!4m13!1m5!1m1!1s0x9681402690dd76eb:0x4b283f8fe10ce3f3!2m2!1d-68.5293761!2d-31.5426363!1m5!1m1!1s0x9680d890b9c43d4d:0x6a4b422f924b4f87!2m2!1d-68.6505764!2d-31.9522446!3e0?entry=ttu&amp;g_ep=EgoyMDI1MDUxMy4xIKXMDSoASAFQAw%3D%3D</v>
          </cell>
          <cell r="C87">
            <v>89.7</v>
          </cell>
          <cell r="D87">
            <v>700088600</v>
          </cell>
          <cell r="E87" t="str">
            <v>ESC. SEC. LOS BERROS</v>
          </cell>
          <cell r="F87" t="str">
            <v>CALLE PUBLICA S/N LOS BERROS</v>
          </cell>
          <cell r="G87" t="str">
            <v>Sarmiento</v>
          </cell>
        </row>
        <row r="88">
          <cell r="A88" t="str">
            <v>793PG67</v>
          </cell>
          <cell r="B88" t="str">
            <v>https://www.google.com/maps/dir/Catamarca+Sur+664,+J5402GSN+San+Juan/Escuela+Primaria+Periodista+Luis+Jorge+Bates,+Belgrano,+Media+Agua,+San+Juan/@-31.760617,-68.7772274,78811m/data=!3m2!1e3!4b1!4m14!4m13!1m5!1m1!1s0x9681402690dd76eb:0x4b283f8fe10ce3f3!2m2!1d-68.5293761!2d-31.5426363!1m5!1m1!1s0x9680e38aa42011e7:0xa8bba01a49f01658!2m2!1d-68.4269645!2d-31.9819263!3e0?entry=ttu&amp;g_ep=EgoyMDI1MDUxMy4xIKXMDSoASAFQAw%3D%3D</v>
          </cell>
          <cell r="C88">
            <v>67.2</v>
          </cell>
          <cell r="D88">
            <v>700048700</v>
          </cell>
          <cell r="E88" t="str">
            <v>PERIODISTA LUIS JORGE BATES</v>
          </cell>
          <cell r="F88" t="str">
            <v>Belgrano 418 Villa Media Agua</v>
          </cell>
          <cell r="G88" t="str">
            <v>Sarmiento</v>
          </cell>
        </row>
        <row r="89">
          <cell r="B89" t="str">
            <v>https://www.google.com/maps/dir/Catamarca+Sur+664,+J5402GSN+San+Juan/Escuela+Falucho,+J5431+Los+Berros,+San+Juan/@-31.762373,-68.8228328,78809m/data=!3m2!1e3!4b1!4m14!4m13!1m5!1m1!1s0x9681402690dd76eb:0x4b283f8fe10ce3f3!2m2!1d-68.5293761!2d-31.5426363!1m5!1m1!1s0x9680d890b9c43d4d:0x6a4b422f924b4f87!2m2!1d-68.6505764!2d-31.9522446!3e0?entry=ttu&amp;g_ep=EgoyMDI1MDUxMy4xIKXMDSoASAFQAw%3D%3D</v>
          </cell>
          <cell r="C89">
            <v>89.7</v>
          </cell>
          <cell r="D89">
            <v>700039000</v>
          </cell>
          <cell r="E89" t="str">
            <v>FALUCHO</v>
          </cell>
          <cell r="F89" t="str">
            <v>Domingo F. Sarmiento entre 9 de Julio y Belgrano</v>
          </cell>
          <cell r="G89" t="str">
            <v>Sarmiento</v>
          </cell>
        </row>
        <row r="90">
          <cell r="A90" t="str">
            <v>7945BDL</v>
          </cell>
          <cell r="B90" t="str">
            <v>https://www.google.com/maps/dir/Catamarca+Sur+664,+J5402GSN+San+Juan/Escuela+Victorina+Lenoir+de+Navarro,+Media+Agua,+San+Juan/@-31.760828,-68.7772274,78811m/data=!3m1!1e3!4m15!4m14!1m5!1m1!1s0x9681402690dd76eb:0x4b283f8fe10ce3f3!2m2!1d-68.5293761!2d-31.5426363!1m5!1m1!1s0x9680e3fe0c8fadc7:0xa7e809e6d97a9f29!2m2!1d-68.427624!2d-31.9823428!3e0!5i1?entry=ttu&amp;g_ep=EgoyMDI1MDUxMy4xIKXMDSoASAFQAw%3D%3D</v>
          </cell>
          <cell r="C90">
            <v>67.2</v>
          </cell>
          <cell r="D90">
            <v>700048800</v>
          </cell>
          <cell r="E90" t="str">
            <v>ESC. SEC. VICTORINA LENOIR DE NAVARRO</v>
          </cell>
          <cell r="F90" t="str">
            <v>9 DE JULIO Y URUGUAY - MEDIA AGUA</v>
          </cell>
          <cell r="G90" t="str">
            <v>Sarmiento</v>
          </cell>
        </row>
        <row r="91">
          <cell r="B91" t="str">
            <v>https://www.google.com/maps/dir/Catamarca+Sur+664,+J5402GSN+San+Juan/Escuela+Saturnino+Segurola,+Media+Agua,+San+Juan/@-31.762792,-68.7772274,78809m/data=!3m2!1e3!4b1!4m14!4m13!1m5!1m1!1s0x9681402690dd76eb:0x4b283f8fe10ce3f3!2m2!1d-68.5293761!2d-31.5426363!1m5!1m1!1s0x9680e3fe0697b153:0x2544094514a868f5!2m2!1d-68.4228584!2d-31.9862615!3e0?entry=ttu&amp;g_ep=EgoyMDI1MDUxMy4xIKXMDSoASAFQAw%3D%3D</v>
          </cell>
          <cell r="C91">
            <v>67.7</v>
          </cell>
          <cell r="D91">
            <v>700014200</v>
          </cell>
          <cell r="E91" t="str">
            <v>SATURNINO SEGUROLA</v>
          </cell>
          <cell r="F91" t="str">
            <v>Laprida S/N B°San Martin</v>
          </cell>
          <cell r="G91" t="str">
            <v>Sarmiento</v>
          </cell>
        </row>
        <row r="92">
          <cell r="A92" t="str">
            <v>79G2RXB</v>
          </cell>
          <cell r="B92" t="str">
            <v>https://www.google.com/maps/dir/Catamarca+Sur+664,+J5402GSN+San+Juan/Escuela+Rep%C3%BAblica+Del+Per%C3%BA,+Calle+Belgrano,+Villa+San+Isidro,+San+Juan/@-31.5356145,-68.5290135,19750m/data=!3m1!1e3!4m15!4m14!1m5!1m1!1s0x9681402690dd76eb:0x4b283f8fe10ce3f3!2m2!1d-68.5293761!2d-31.5426363!1m5!1m1!1s0x96816d2617b36fbb:0x268d80a14e295344!2m2!1d-68.3670881!2d-31.5014779!3e0!5i2?entry=ttu&amp;g_ep=EgoyMDI1MDUxMy4xIKXMDSoASAFQAw%3D%3D</v>
          </cell>
          <cell r="C92">
            <v>25.3</v>
          </cell>
          <cell r="D92">
            <v>700043800</v>
          </cell>
          <cell r="E92" t="str">
            <v>REPÚBLICA DEL PERÚ</v>
          </cell>
          <cell r="F92" t="str">
            <v>Belgrano s/n</v>
          </cell>
          <cell r="G92" t="str">
            <v>San Martín</v>
          </cell>
        </row>
        <row r="93">
          <cell r="B93" t="str">
            <v>https://www.google.com/maps/dir/Catamarca+Sur+664,+J5402GSN+San+Juan/Escuela+Educaci%C3%B3n+Popular,+Calle+Balcarce,+Santa+Luc%C3%ADa,+San+Juan/@-31.5328018,-68.5384433,9876m/data=!3m1!1e3!4m15!4m14!1m5!1m1!1s0x9681402690dd76eb:0x4b283f8fe10ce3f3!2m2!1d-68.5293761!2d-31.5426363!1m5!1m1!1s0x96816ba5f6f27531:0xb3a894976a201f82!2m2!1d-68.464924!2d-31.5102309!3e0!5i2?entry=ttu&amp;g_ep=EgoyMDI1MDUxMy4xIKXMDSoASAFQAw%3D%3D</v>
          </cell>
          <cell r="C93">
            <v>11.6</v>
          </cell>
          <cell r="D93">
            <v>700026000</v>
          </cell>
          <cell r="E93" t="str">
            <v>Educación Popular</v>
          </cell>
          <cell r="F93" t="str">
            <v>Balcarce 2262 este</v>
          </cell>
          <cell r="G93" t="str">
            <v>Santa Lucía</v>
          </cell>
        </row>
        <row r="94">
          <cell r="A94" t="str">
            <v>79G5RLW</v>
          </cell>
          <cell r="B94" t="str">
            <v>https://www.google.com/maps/dir/Catamarca+Sur+664,+San+Juan/Bartolome+Del+Bono,+San+Juan/@-31.6818845,-68.5818359,39439m/data=!3m2!1e3!4b1!4m14!4m13!1m5!1m1!1s0x9681402690dd76eb:0x4b283f8fe10ce3f3!2m2!1d-68.5293761!2d-31.5426363!1m5!1m1!1s0x968103060f9848d7:0x45a04d443e384ee!2m2!1d-68.2915943!2d-31.8232407!3e0?entry=ttu&amp;g_ep=EgoyMDI1MDUwNy4wIKXMDSoASAFQAw%3D%3D</v>
          </cell>
          <cell r="C94">
            <v>47.1</v>
          </cell>
          <cell r="D94">
            <v>700057800</v>
          </cell>
          <cell r="E94" t="str">
            <v>BARTOLOMÉ DEL BONO</v>
          </cell>
          <cell r="F94" t="str">
            <v>Ruta 279 entre calle 21 y 22</v>
          </cell>
          <cell r="G94" t="str">
            <v>25 de Mayo</v>
          </cell>
        </row>
        <row r="95">
          <cell r="B95" t="str">
            <v>https://www.google.com/maps/dir/Catamarca+Sur+664,+San+Juan/Escuela+Juan+Ignacio+Gorriti,+San+Juan/@-31.6853956,-68.5262711,39437m/data=!3m2!1e3!4b1!4m14!4m13!1m5!1m1!1s0x9681402690dd76eb:0x4b283f8fe10ce3f3!2m2!1d-68.5293761!2d-31.5426363!1m5!1m1!1s0x968101a1ad6df103:0xca680ba030b56b53!2m2!1d-68.2260848!2d-31.8302461!3e0?entry=ttu&amp;g_ep=EgoyMDI1MDUxMy4xIKXMDSoASAFQAw%3D%3D</v>
          </cell>
          <cell r="C95">
            <v>55.7</v>
          </cell>
          <cell r="D95">
            <v>700079100</v>
          </cell>
          <cell r="E95" t="str">
            <v>JUAN IGNACIO GORRITI</v>
          </cell>
          <cell r="F95" t="str">
            <v>Ruta 20, Km 910, Estación José Martí</v>
          </cell>
          <cell r="G95" t="str">
            <v>25 de Mayo</v>
          </cell>
        </row>
        <row r="96">
          <cell r="A96" t="str">
            <v>793PZG7</v>
          </cell>
          <cell r="B96" t="str">
            <v>https://www.google.com/maps/dir/Catamarca+Sur+664,+San+Juan/Escuela+Juan+Ignacio+Gorriti,+San+Juan/@-31.6853956,-68.5262711,39437m/data=!3m2!1e3!4b1!4m14!4m13!1m5!1m1!1s0x9681402690dd76eb:0x4b283f8fe10ce3f3!2m2!1d-68.5293761!2d-31.5426363!1m5!1m1!1s0x968101a1ad6df103:0xca680ba030b56b53!2m2!1d-68.2260848!2d-31.8302461!3e0?entry=ttu&amp;g_ep=EgoyMDI1MDUxMy4xIKXMDSoASAFQAw%3D%3D</v>
          </cell>
          <cell r="C96">
            <v>55.7</v>
          </cell>
          <cell r="D96">
            <v>700100100</v>
          </cell>
          <cell r="E96" t="str">
            <v>ESC. SEC. JUAN IGNACIO GORRITI</v>
          </cell>
          <cell r="F96" t="str">
            <v>Ruta 20, Km 910, Estación José Martí</v>
          </cell>
          <cell r="G96" t="str">
            <v>25 de Mayo</v>
          </cell>
        </row>
        <row r="97">
          <cell r="B97" t="str">
            <v>https://www.google.com/maps/dir/Catamarca+Sur+664,+San+Juan/Plaza+del+Barrio+Centenario,+Chimbas,+San+Juan/@-31.5096024,-68.5669298,9878m/am=t/data=!3m1!1e3!4m14!4m13!1m5!1m1!1s0x9681402690dd76eb:0x4b283f8fe10ce3f3!2m2!1d-68.5293761!2d-31.5426363!1m5!1m1!1s0x9681432b699fb87f:0x6055dc7792310e41!2m2!1d-68.5274912!2d-31.4767264!3e0?entry=ttu&amp;g_ep=EgoyMDI1MDUxMy4xIKXMDSoASAFQAw%3D%3D</v>
          </cell>
          <cell r="C97">
            <v>10.3</v>
          </cell>
          <cell r="D97">
            <v>700105800</v>
          </cell>
          <cell r="E97" t="str">
            <v>ENI N°71 Risas del SOL</v>
          </cell>
          <cell r="F97" t="str">
            <v>PROYECTADA s/n BARRIO CENTANARIO</v>
          </cell>
          <cell r="G97" t="str">
            <v>Chimbas</v>
          </cell>
        </row>
        <row r="98">
          <cell r="B98" t="str">
            <v>MENOS DE 10 KM</v>
          </cell>
          <cell r="D98">
            <v>700005500</v>
          </cell>
          <cell r="E98" t="str">
            <v>EUGENIA BELÍN SARMIENTO</v>
          </cell>
          <cell r="F98" t="str">
            <v>Juan Aguilar y Bahía Blanca B* Hualilan 2</v>
          </cell>
          <cell r="G98" t="str">
            <v>Rawson</v>
          </cell>
        </row>
        <row r="99">
          <cell r="B99" t="str">
            <v>MENOS DE 10 KM</v>
          </cell>
          <cell r="D99">
            <v>700089300</v>
          </cell>
          <cell r="E99" t="str">
            <v>ESC. SEC. EUGENIA BELÍN SARMIENTO</v>
          </cell>
          <cell r="F99" t="str">
            <v>JUAN AGUILAR Y BAHÍA BLANCA B° GUALILAN</v>
          </cell>
          <cell r="G99" t="str">
            <v>Raeson</v>
          </cell>
        </row>
        <row r="100">
          <cell r="B100" t="str">
            <v>MENOS DE 10 KM</v>
          </cell>
          <cell r="D100">
            <v>700025900</v>
          </cell>
          <cell r="E100" t="str">
            <v>CENS N°174</v>
          </cell>
          <cell r="F100" t="str">
            <v>Fray Mamerto Equiú s/n Barrio Kenedy</v>
          </cell>
          <cell r="G100" t="str">
            <v>Santa Lucía</v>
          </cell>
        </row>
        <row r="101">
          <cell r="B101" t="str">
            <v>MENOS DE 10 KM</v>
          </cell>
          <cell r="D101">
            <v>700087800</v>
          </cell>
          <cell r="E101" t="str">
            <v>ENI N°31 Patricias Sanjuaninas</v>
          </cell>
          <cell r="F101" t="str">
            <v>Laprida 1599 oeste</v>
          </cell>
          <cell r="G101" t="str">
            <v>Capital</v>
          </cell>
        </row>
        <row r="102">
          <cell r="B102" t="str">
            <v>MENOS DE 10 KM</v>
          </cell>
          <cell r="D102">
            <v>400091400</v>
          </cell>
          <cell r="E102" t="str">
            <v>ESC. SEC. MIGUEL AZCUÉNAGA</v>
          </cell>
          <cell r="F102" t="str">
            <v>PATRICIAS SANJUANINAS 1126 SUR</v>
          </cell>
          <cell r="G102" t="str">
            <v>Capital</v>
          </cell>
        </row>
        <row r="103">
          <cell r="B103" t="str">
            <v>MENOS DE 10 KM</v>
          </cell>
          <cell r="D103">
            <v>700101800</v>
          </cell>
          <cell r="E103" t="str">
            <v>ESC. SEC. MARCELINO GUARDIOLA</v>
          </cell>
          <cell r="F103" t="str">
            <v>MEGLIOLIS/N ENTRE CALLE 4 Y 5</v>
          </cell>
          <cell r="G103" t="str">
            <v>Rawson</v>
          </cell>
        </row>
        <row r="104">
          <cell r="B104" t="str">
            <v>MENOS DE 10 KM</v>
          </cell>
          <cell r="D104">
            <v>700083200</v>
          </cell>
          <cell r="E104" t="str">
            <v>ESC. SEC. JUAN XXIII</v>
          </cell>
          <cell r="F104" t="str">
            <v>ALMA FUERTE ESQUINA MISIONES B° SALVADOR MARÍA DEL CARRIL</v>
          </cell>
          <cell r="G104" t="str">
            <v>Rawson</v>
          </cell>
        </row>
        <row r="105">
          <cell r="B105" t="str">
            <v>MENOS DE 10 KM</v>
          </cell>
          <cell r="D105">
            <v>700106000</v>
          </cell>
          <cell r="E105" t="str">
            <v>ESC. SEC. CECILIO AVILA</v>
          </cell>
          <cell r="F105" t="str">
            <v>CAÑITAS Y RODAS S/N</v>
          </cell>
          <cell r="G105" t="str">
            <v>Rawson</v>
          </cell>
        </row>
        <row r="106">
          <cell r="B106" t="str">
            <v>https://www.google.com/maps/dir/Catamarca+Sur+664,+J5402GSN+San+Juan/Escuela+Presidente+Sarmiento,+Estrada+Jose+Manuel,+Medano+de+Oro,+San+Juan/@-31.5852327,-68.5846067,19740m/data=!3m2!1e3!4b1!4m14!4m13!1m5!1m1!1s0x9681402690dd76eb:0x4b283f8fe10ce3f3!2m2!1d-68.5293761!2d-31.5426363!1m5!1m1!1s0x968115ca6ebbe493:0xe33d3a1fae26d689!2m2!1d-68.4813156!2d-31.6285934!3e0?entry=ttu&amp;g_ep=EgoyMDI1MDUxMy4xIKXMDSoASAFQAw%3D%3D</v>
          </cell>
          <cell r="C106">
            <v>12.9</v>
          </cell>
          <cell r="D106">
            <v>700082600</v>
          </cell>
          <cell r="E106" t="str">
            <v>Presidente Sarmiento</v>
          </cell>
          <cell r="F106" t="str">
            <v>Gabriela Mistral s/n Médano de Oro</v>
          </cell>
          <cell r="G106" t="str">
            <v>Rawson</v>
          </cell>
        </row>
        <row r="107">
          <cell r="B107" t="str">
            <v>MENOS DE 10 KM</v>
          </cell>
          <cell r="D107">
            <v>700082300</v>
          </cell>
          <cell r="E107" t="str">
            <v>Barrio Franklin Rawson</v>
          </cell>
          <cell r="F107" t="str">
            <v>Alfredo Fortabat 3060 oeste B° Franklin  Rawson</v>
          </cell>
          <cell r="G107" t="str">
            <v>Rawson</v>
          </cell>
        </row>
        <row r="108">
          <cell r="A108" t="str">
            <v>79G49D4</v>
          </cell>
          <cell r="B108" t="str">
            <v>https://www.google.com/maps/dir/Catamarca+Sur+664,+J5402GSN+San+Juan/Escuela+N%C2%BA+722+%22Provincia+de+Formosa%22,+Mitre,+Villa+San+Agust%C3%ADn,+San+Juan/@-31.194733,-68.5296269,158578m/data=!3m2!1e3!4b1!4m14!4m13!1m5!1m1!1s0x9681402690dd76eb:0x4b283f8fe10ce3f3!2m2!1d-68.5293761!2d-31.5426363!1m5!1m1!1s0x968275d69c4f062d:0xa147e5684e39f56d!2m2!1d-67.4670864!2d-30.6355!3e0?entry=ttu&amp;g_ep=EgoyMDI1MDUxMy4xIKXMDSoASAFQAw%3D%3D</v>
          </cell>
          <cell r="C108">
            <v>250</v>
          </cell>
          <cell r="E108" t="str">
            <v>Esc. Provincia de Formosa</v>
          </cell>
          <cell r="F108" t="str">
            <v>Mitre y Gral. Acha  - VILLA SAN AGUSTIN</v>
          </cell>
          <cell r="G108" t="str">
            <v>VALLE FÉRTIL</v>
          </cell>
        </row>
        <row r="109">
          <cell r="A109" t="str">
            <v>79G3LFX</v>
          </cell>
          <cell r="B109" t="str">
            <v>https://www.google.com/maps/dir/Catamarca+Sur+664,+San+Juan/Escuela+Agrotecnica+Ej%C3%A9rcito+Argentino,+J5449+Villa+San+Agust%C3%ADn,+San+Juan/@-31.19083,-68.5296269,158584m/data=!3m2!1e3!4b1!4m14!4m13!1m5!1m1!1s0x9681402690dd76eb:0x4b283f8fe10ce3f3!2m2!1d-68.5293761!2d-31.5426363!1m5!1m1!1s0x9682747026776887:0xcbdea15b60ce0a39!2m2!1d-67.4640364!2d-30.6276738!3e0?entry=ttu&amp;g_ep=EgoyMDI1MDUwNy4wIKXMDSoASAFQAw%3D%3D</v>
          </cell>
          <cell r="C109">
            <v>250</v>
          </cell>
          <cell r="E109" t="str">
            <v>AGROTECNICA EJERCITO ARGENTINO</v>
          </cell>
          <cell r="F109" t="str">
            <v>Tucuman N° 532 - VILLA SAN AGUSTIN</v>
          </cell>
          <cell r="G109" t="str">
            <v>VALLE FÉRTIL</v>
          </cell>
        </row>
        <row r="110">
          <cell r="B110" t="str">
            <v>MENOS DE 10 KM</v>
          </cell>
          <cell r="D110">
            <v>700116600</v>
          </cell>
          <cell r="E110" t="str">
            <v>ENI N°82</v>
          </cell>
          <cell r="F110" t="str">
            <v>Hipolito Yrigoyen 3520 este</v>
          </cell>
          <cell r="G110" t="str">
            <v>Santa Lucía</v>
          </cell>
        </row>
        <row r="111">
          <cell r="B111" t="str">
            <v>MENOS DE 10 KM</v>
          </cell>
          <cell r="D111">
            <v>700087900</v>
          </cell>
          <cell r="E111" t="str">
            <v>ENI N°39</v>
          </cell>
          <cell r="F111" t="str">
            <v>Prolongación Conector Sur y Boulevard Sarmiento B° La Estación</v>
          </cell>
          <cell r="G111" t="str">
            <v>Rawson</v>
          </cell>
        </row>
        <row r="112">
          <cell r="B112" t="str">
            <v>MENOS DE 10 KM</v>
          </cell>
          <cell r="D112">
            <v>700024900</v>
          </cell>
          <cell r="E112" t="str">
            <v>Carlos María de Alvear</v>
          </cell>
          <cell r="F112" t="str">
            <v>Jose María  Paz y Magallanes  Villa San Damian</v>
          </cell>
          <cell r="G112" t="str">
            <v>Rawson</v>
          </cell>
        </row>
        <row r="113">
          <cell r="B113" t="str">
            <v>MENOS DE 10 KM</v>
          </cell>
          <cell r="D113">
            <v>700115700</v>
          </cell>
          <cell r="E113" t="str">
            <v>Secundaria Presidente Hipólito Yrigoyen. Departamento Capital</v>
          </cell>
          <cell r="F113" t="str">
            <v>J de Echegaray 2364, Desamparados</v>
          </cell>
          <cell r="G113" t="str">
            <v>Capital</v>
          </cell>
        </row>
        <row r="114">
          <cell r="A114" t="str">
            <v>79G1G50</v>
          </cell>
          <cell r="B114" t="str">
            <v>MENOS DE 10 KM</v>
          </cell>
          <cell r="D114">
            <v>700084400</v>
          </cell>
          <cell r="E114" t="str">
            <v>ESC. SEC. 9 DE JULIO</v>
          </cell>
          <cell r="F114" t="str">
            <v>PARAGUAY 889 ESTE VILLA AMERICA</v>
          </cell>
          <cell r="G114" t="str">
            <v>Capital</v>
          </cell>
        </row>
        <row r="115">
          <cell r="B115" t="str">
            <v>MENOS DE 10 KM</v>
          </cell>
          <cell r="D115">
            <v>700047500</v>
          </cell>
          <cell r="E115">
            <v>45802</v>
          </cell>
          <cell r="F115" t="str">
            <v>Capital</v>
          </cell>
          <cell r="G115" t="str">
            <v>Capital</v>
          </cell>
        </row>
        <row r="116">
          <cell r="A116" t="str">
            <v>79G1DY1</v>
          </cell>
          <cell r="B116" t="str">
            <v>MENOS DE 10 KM</v>
          </cell>
          <cell r="D116">
            <v>700100000</v>
          </cell>
          <cell r="E116" t="str">
            <v>E.N.I. Nº 63 Lihue Esc. 25 de mayo</v>
          </cell>
          <cell r="F116" t="str">
            <v>Capital</v>
          </cell>
          <cell r="G116" t="str">
            <v>Capital</v>
          </cell>
        </row>
        <row r="117">
          <cell r="B117" t="str">
            <v>MENOS DE 10 KM</v>
          </cell>
          <cell r="D117">
            <v>700091200</v>
          </cell>
          <cell r="E117" t="str">
            <v>ESC.SEC. BARRIO FRONDIZI</v>
          </cell>
          <cell r="F117" t="str">
            <v>PINONO ORO Y ANTONIO DE LA TORRE B° FRONDIZI</v>
          </cell>
          <cell r="G117" t="str">
            <v>Capital</v>
          </cell>
        </row>
        <row r="118">
          <cell r="B118" t="str">
            <v>MENOS DE 10 KM</v>
          </cell>
          <cell r="D118">
            <v>700047700</v>
          </cell>
          <cell r="E118" t="str">
            <v>Paula Albarracín de Sarmiento</v>
          </cell>
          <cell r="F118" t="str">
            <v>Av. Liberador San Martin 381 (O)</v>
          </cell>
          <cell r="G118" t="str">
            <v>Capital</v>
          </cell>
        </row>
        <row r="119">
          <cell r="B119" t="str">
            <v>MENOS DE 10 KM</v>
          </cell>
          <cell r="D119">
            <v>700055500</v>
          </cell>
          <cell r="E119" t="str">
            <v>COLEG. PROV. DE LA CAPITAL</v>
          </cell>
          <cell r="F119" t="str">
            <v>ESPAÑA 1420 SUR</v>
          </cell>
          <cell r="G119" t="str">
            <v>Capital</v>
          </cell>
        </row>
        <row r="120">
          <cell r="A120" t="str">
            <v>79G1328</v>
          </cell>
          <cell r="B120" t="str">
            <v>MENOS DE 10 KM</v>
          </cell>
          <cell r="D120">
            <v>700090000</v>
          </cell>
          <cell r="E120" t="str">
            <v>E.N.I. Nº 47 "San José Gabriel Rosario Brochero"</v>
          </cell>
          <cell r="F120" t="str">
            <v>Antonio de la Torre y Rodolfo Paez Oro Barrio Frondizi</v>
          </cell>
          <cell r="G120" t="str">
            <v>Capital</v>
          </cell>
        </row>
        <row r="121">
          <cell r="A121" t="str">
            <v>793PG58</v>
          </cell>
          <cell r="B121" t="str">
            <v>MENOS DE 10 KM</v>
          </cell>
          <cell r="D121">
            <v>700087000</v>
          </cell>
          <cell r="E121" t="str">
            <v>E.N.I. Nº 35. Estrella de los Andes</v>
          </cell>
          <cell r="F121" t="str">
            <v>AV. ESPAÑA SUR 1420</v>
          </cell>
          <cell r="G121" t="str">
            <v>Capital</v>
          </cell>
        </row>
        <row r="122">
          <cell r="A122" t="str">
            <v>793PZH4</v>
          </cell>
          <cell r="B122" t="str">
            <v>MENOS DE 10 KM</v>
          </cell>
          <cell r="D122">
            <v>700027800</v>
          </cell>
          <cell r="E122" t="str">
            <v>ESC. CAMPAÑANA DEL DESIERTO</v>
          </cell>
          <cell r="F122" t="str">
            <v>Virgen de Lourdes y Perito Moreno B° Smata</v>
          </cell>
          <cell r="G122" t="str">
            <v>Capital</v>
          </cell>
        </row>
        <row r="123">
          <cell r="A123" t="str">
            <v>793H5M7</v>
          </cell>
          <cell r="B123" t="str">
            <v>MENOS DE 10 KM</v>
          </cell>
          <cell r="D123">
            <v>700100500</v>
          </cell>
          <cell r="E123" t="str">
            <v>SATURNINO SARASSA</v>
          </cell>
          <cell r="F123" t="str">
            <v>JUAREZ CELMAN 235 B° MONTAÑO</v>
          </cell>
          <cell r="G123" t="str">
            <v>Rawson</v>
          </cell>
        </row>
        <row r="124">
          <cell r="A124" t="str">
            <v>ZELLBJFJA0003HR</v>
          </cell>
          <cell r="D124">
            <v>700086300</v>
          </cell>
          <cell r="E124" t="str">
            <v>ENI N°26 Taynmenta</v>
          </cell>
          <cell r="F124" t="str">
            <v>Rawson</v>
          </cell>
          <cell r="G124" t="str">
            <v>Inicial</v>
          </cell>
        </row>
        <row r="125">
          <cell r="B125" t="str">
            <v>MENOS DE 10 KM</v>
          </cell>
          <cell r="D125">
            <v>700105400</v>
          </cell>
          <cell r="E125" t="str">
            <v>Esc. Sec. Tte 1º Francisco Ibañez</v>
          </cell>
          <cell r="F125" t="str">
            <v>Tucumán 1633 Norte Concepción</v>
          </cell>
          <cell r="G125" t="str">
            <v>Capital</v>
          </cell>
        </row>
        <row r="126">
          <cell r="B126" t="str">
            <v>MENOS DE 10 KM</v>
          </cell>
          <cell r="D126">
            <v>700115400</v>
          </cell>
          <cell r="E126" t="str">
            <v>E.N.I Nº 78</v>
          </cell>
          <cell r="F126" t="str">
            <v>Sargento Cabral 1285</v>
          </cell>
          <cell r="G126" t="str">
            <v>Capital</v>
          </cell>
        </row>
        <row r="127">
          <cell r="B127" t="str">
            <v>MENOS DE 10 KM</v>
          </cell>
          <cell r="D127">
            <v>700058400</v>
          </cell>
          <cell r="E127" t="str">
            <v>Dr. Juan Crisostomo Albarracin</v>
          </cell>
          <cell r="F127" t="str">
            <v>AV. ESPAÑA SUR 1420</v>
          </cell>
          <cell r="G127" t="str">
            <v>Capital</v>
          </cell>
        </row>
        <row r="128">
          <cell r="B128" t="str">
            <v>MENOS DE 10 KM</v>
          </cell>
          <cell r="D128">
            <v>700061400</v>
          </cell>
          <cell r="E128" t="str">
            <v>DR.FLORENTINO AMEGHINO</v>
          </cell>
          <cell r="F128" t="str">
            <v>Salas 1285 norte</v>
          </cell>
          <cell r="G128" t="str">
            <v>Capital</v>
          </cell>
        </row>
        <row r="129">
          <cell r="B129" t="str">
            <v>MENOS DE 10 KM</v>
          </cell>
          <cell r="D129">
            <v>700061200</v>
          </cell>
          <cell r="E129" t="str">
            <v>Escuela 9 de Julio</v>
          </cell>
          <cell r="F129" t="str">
            <v>Bernardo de Monteagudo 1258 (Norte)</v>
          </cell>
          <cell r="G129" t="str">
            <v>Capital</v>
          </cell>
        </row>
        <row r="130">
          <cell r="B130" t="str">
            <v>MENOS DE 10 KM</v>
          </cell>
          <cell r="D130">
            <v>700030900</v>
          </cell>
          <cell r="E130" t="str">
            <v>PROVINCIA DE SANTIAGO DEL ESTERO</v>
          </cell>
          <cell r="F130" t="str">
            <v>Av. Alem 650 (N)</v>
          </cell>
          <cell r="G130" t="str">
            <v>Capital</v>
          </cell>
        </row>
        <row r="131">
          <cell r="B131" t="str">
            <v>https://www.google.com/maps/dir/Catamarca+Sur+664,+San+Juan/Escuela+Camilo+Rojo,+Nacional,+Albard%C3%B3n,+San+Juan/@-31.4855745,-68.6026079,19761m/data=!3m2!1e3!4b1!4m14!4m13!1m5!1m1!1s0x9681402690dd76eb:0x4b283f8fe10ce3f3!2m2!1d-68.5293761!2d-31.5426363!1m5!1m1!1s0x96816830466dc90f:0x97d12f541d262eb2!2m2!1d-68.5107267!2d-31.4288377!3e0?entry=ttu&amp;g_ep=EgoyMDI1MDUxMy4xIKXMDSoASAFQAw%3D%3D</v>
          </cell>
          <cell r="C131">
            <v>15.4</v>
          </cell>
          <cell r="D131">
            <v>700033000</v>
          </cell>
          <cell r="E131" t="str">
            <v>CAMILO ROJO</v>
          </cell>
          <cell r="F131" t="str">
            <v>Ruta Nacional 1221</v>
          </cell>
          <cell r="G131" t="str">
            <v>Albardón</v>
          </cell>
        </row>
        <row r="132">
          <cell r="B132" t="str">
            <v>https://www.google.com/maps/dir/Catamarca+Sur+664,+San+Juan/Escuela+Padre+Maggio,+San+Juan/@-31.7939798,-68.6936078,78782m/data=!3m1!1e3!4m15!4m14!1m5!1m1!1s0x9681402690dd76eb:0x4b283f8fe10ce3f3!2m2!1d-68.5293761!2d-31.5426363!1m5!1m1!1s0x9680f761de9a7a45:0x4f5369f82ede5b79!2m2!1d-68.2104611!2d-32.0356676!3e0!5i1?entry=ttu&amp;g_ep=EgoyMDI1MDUxMy4xIKXMDSoASAFQAw%3D%3D</v>
          </cell>
          <cell r="C132">
            <v>80.900000000000006</v>
          </cell>
          <cell r="D132">
            <v>700115900</v>
          </cell>
          <cell r="E132" t="str">
            <v>ESC. SEC. PADRE FEDERICO MAGGIO</v>
          </cell>
          <cell r="F132" t="str">
            <v>RUTA 308 S/N PUNTA DEL AGUA</v>
          </cell>
          <cell r="G132" t="str">
            <v>25 de Mayo</v>
          </cell>
        </row>
        <row r="133">
          <cell r="B133" t="str">
            <v>MENOS DE 10 KM</v>
          </cell>
          <cell r="D133">
            <v>700016000</v>
          </cell>
          <cell r="E133" t="str">
            <v>JUAN ENRIQUE PESTALOZZI</v>
          </cell>
          <cell r="F133" t="str">
            <v>25 de Mayo e Islas</v>
          </cell>
          <cell r="G133" t="str">
            <v>Chimbas</v>
          </cell>
        </row>
        <row r="134">
          <cell r="B134" t="str">
            <v>MENOS DE 10 KM</v>
          </cell>
          <cell r="D134">
            <v>700016000</v>
          </cell>
          <cell r="E134" t="str">
            <v>JUAN ENRIQUE PESTALOZZI</v>
          </cell>
          <cell r="F134" t="str">
            <v>Bº PARQUE INDUSTRIAL 25 DE MAYO 2770 Y LA ISLA</v>
          </cell>
          <cell r="G134" t="str">
            <v>Chimbas</v>
          </cell>
        </row>
        <row r="135">
          <cell r="B135" t="str">
            <v>https://www.google.com/maps/dir/Catamarca+Sur+664,+San+Juan/El+Paisano+Oeste+%26+Mancini+Norte,+J5413+Chimbas,+San+Juan/@-31.5314918,-68.6004552,9876m/data=!3m1!1e3!4m15!4m14!1m5!1m1!1s0x9681402690dd76eb:0x4b283f8fe10ce3f3!2m2!1d-68.5293761!2d-31.5426363!1m5!1m1!1s0x968141685a173919:0x61b246ccb5e53e30!2m2!1d-68.593514!2d-31.5085049!3e0!5i2?entry=ttu&amp;g_ep=EgoyMDI1MDUxMy4xIKXMDSoASAFQAw%3D%3D</v>
          </cell>
          <cell r="C135">
            <v>12.5</v>
          </cell>
          <cell r="D135">
            <v>700096500</v>
          </cell>
          <cell r="E135" t="str">
            <v>E.N.I. Nº 55.Bº Los Pinos Chimbas</v>
          </cell>
          <cell r="F135" t="str">
            <v>Mancini y El Paisano</v>
          </cell>
          <cell r="G135" t="str">
            <v>Chimbas</v>
          </cell>
        </row>
        <row r="136">
          <cell r="B136" t="str">
            <v>https://www.google.com/maps/dir/Catamarca+Sur+664,+San+Juan/25+de+Mayo+Oeste+%26+C.+La+Isla+N,+J5413+Chimbas,+San+Juan/@-31.5264624,-68.5873874,9876m/data=!3m1!1e3!4m15!4m14!1m5!1m1!1s0x9681402690dd76eb:0x4b283f8fe10ce3f3!2m2!1d-68.5293761!2d-31.5426363!1m5!1m1!1s0x9681418465fc54fd:0xd6a1c8bce0558f8d!2m2!1d-68.5653436!2d-31.4981295!3e0!5i1?entry=ttu&amp;g_ep=EgoyMDI1MDUxMy4xIKXMDSoASAFQAw%3D%3D</v>
          </cell>
          <cell r="C136">
            <v>11.2</v>
          </cell>
          <cell r="D136">
            <v>700085000</v>
          </cell>
          <cell r="E136" t="str">
            <v>E.N.I. Nº 20 "PILPINTU".</v>
          </cell>
          <cell r="F136" t="str">
            <v>Bº PARQUE INDUSTRIAL 25 DE MAYO 2770 Y LA ISLA</v>
          </cell>
          <cell r="G136" t="str">
            <v>Chimbas</v>
          </cell>
        </row>
        <row r="137">
          <cell r="B137" t="str">
            <v>MENOS DE 10 KM</v>
          </cell>
          <cell r="D137">
            <v>700105200</v>
          </cell>
          <cell r="E137" t="str">
            <v>Nivel inicial Nº 67. Esc.13 de Junio</v>
          </cell>
          <cell r="F137" t="str">
            <v>RUTA 40 ESTE 2615</v>
          </cell>
          <cell r="G137" t="str">
            <v>Chimbas</v>
          </cell>
        </row>
        <row r="138">
          <cell r="B138" t="str">
            <v>MENOS DE 10 KM</v>
          </cell>
          <cell r="D138">
            <v>700101300</v>
          </cell>
          <cell r="E138" t="str">
            <v>Esc Sec. 13 de Junio</v>
          </cell>
          <cell r="F138" t="str">
            <v>RUTA 40 Y CENTENARIO V° María</v>
          </cell>
          <cell r="G138" t="str">
            <v>Chimbas</v>
          </cell>
        </row>
        <row r="139">
          <cell r="B139" t="str">
            <v>MENOS DE 10 KM</v>
          </cell>
          <cell r="D139">
            <v>700104500</v>
          </cell>
          <cell r="E139" t="str">
            <v>Escuela de Nivel Inicial N°65</v>
          </cell>
          <cell r="F139" t="str">
            <v>Río Gallegos s/n B° Laprida</v>
          </cell>
          <cell r="G139" t="str">
            <v>Chimbas</v>
          </cell>
        </row>
        <row r="140">
          <cell r="D140">
            <v>70010700</v>
          </cell>
          <cell r="E140" t="str">
            <v>E.N.I Nº61</v>
          </cell>
          <cell r="F140" t="str">
            <v>Ruta 40 s/n</v>
          </cell>
          <cell r="G140" t="str">
            <v>Chimbas</v>
          </cell>
        </row>
        <row r="141">
          <cell r="B141" t="str">
            <v>MENOS DE 10 KM</v>
          </cell>
          <cell r="D141">
            <v>700084500</v>
          </cell>
          <cell r="E141" t="str">
            <v>E.N.I. Nº 16. Rosario Sarmiento</v>
          </cell>
          <cell r="F141" t="str">
            <v>Ameguino 774</v>
          </cell>
          <cell r="G141" t="str">
            <v>Chimbas</v>
          </cell>
        </row>
        <row r="142">
          <cell r="B142" t="str">
            <v>MENOS DE 10 KM</v>
          </cell>
          <cell r="D142">
            <v>700059200</v>
          </cell>
          <cell r="E142" t="str">
            <v>ESC. ERNESTO BAVIO</v>
          </cell>
          <cell r="F142" t="str">
            <v>Reconquista 5760 oeste</v>
          </cell>
          <cell r="G142" t="str">
            <v>Chimbas</v>
          </cell>
        </row>
        <row r="143">
          <cell r="B143" t="str">
            <v>MENOS DE 10 KM</v>
          </cell>
          <cell r="D143">
            <v>700059300</v>
          </cell>
          <cell r="E143" t="str">
            <v>COL. SEC. JORGE LUIS BORGES</v>
          </cell>
          <cell r="F143" t="str">
            <v>Lopez Mansilla  y Catamarca s/n</v>
          </cell>
          <cell r="G143" t="str">
            <v>Chimbas</v>
          </cell>
        </row>
        <row r="144">
          <cell r="B144" t="str">
            <v>MENOS DE 10 KM</v>
          </cell>
          <cell r="D144">
            <v>700107500</v>
          </cell>
          <cell r="E144" t="str">
            <v>Escuela Sec. Presidente Avellaneda</v>
          </cell>
          <cell r="F144" t="str">
            <v>SALTA 1750 V° UNION</v>
          </cell>
          <cell r="G144" t="str">
            <v>Chimbas</v>
          </cell>
        </row>
        <row r="145">
          <cell r="B145" t="str">
            <v>MENOS DE 10 KM</v>
          </cell>
          <cell r="D145">
            <v>700024600</v>
          </cell>
          <cell r="E145" t="str">
            <v>Colegio Secundario Antonio de la Torre</v>
          </cell>
          <cell r="F145" t="str">
            <v>Boulevard Sarmiento s/n Jachal</v>
          </cell>
          <cell r="G145" t="str">
            <v>Rawson</v>
          </cell>
        </row>
        <row r="146">
          <cell r="B146" t="str">
            <v>https://www.google.com/maps/place/Escuela+Profesor+Alejandro+Mathus/@-32.0796166,-68.6924519,730m/data=!3m1!1e3!4m9!1m2!2m1!1sRUTA+351+RETAMITO!3m5!1s0x9680da6005772915:0x5c63abfac47762ce!8m2!3d-32.0773651!4d-68.6922761!16s%2Fg%2F11c70cv4p3?entry=ttu&amp;g_ep=EgoyMDI1MDUxMy4xIKXMDSoASAFQAw%3D%3D</v>
          </cell>
          <cell r="C146">
            <v>108</v>
          </cell>
          <cell r="D146">
            <v>700008200</v>
          </cell>
          <cell r="E146" t="str">
            <v>BATALLA DE SUIPACHA</v>
          </cell>
          <cell r="F146" t="str">
            <v>Ruta 351 s/n Retamito</v>
          </cell>
          <cell r="G146" t="str">
            <v>Sarmiento</v>
          </cell>
        </row>
        <row r="147">
          <cell r="B147" t="str">
            <v>https://www.google.com/maps/dir/Catamarca+Sur+664,+J5402GSN+San+Juan/Ca%C3%B1ada+Honda,+San+Juan/@-31.985702,-68.5632001,2457m/data=!3m1!1e3!4m14!4m13!1m5!1m1!1s0x9681402690dd76eb:0x4b283f8fe10ce3f3!2m2!1d-68.5293761!2d-31.5426363!1m5!1m1!1s0x9680de310ff943ab:0x9f528f9d660e25a8!2m2!1d-68.5533274!2d-31.979826!3e0?entry=ttu&amp;g_ep=EgoyMDI1MDUxMy4xIKXMDSoASAFQAw%3D%3D</v>
          </cell>
          <cell r="C147">
            <v>79.400000000000006</v>
          </cell>
          <cell r="D147">
            <v>700008500</v>
          </cell>
          <cell r="E147" t="str">
            <v>DR. ALBERT EINSTEIN</v>
          </cell>
          <cell r="F147" t="str">
            <v>Calle Omar Palacio s/n Cañada Honda</v>
          </cell>
          <cell r="G147" t="str">
            <v>Sarmiento</v>
          </cell>
        </row>
        <row r="148">
          <cell r="B148" t="str">
            <v>MENOS DE 10 KM</v>
          </cell>
          <cell r="D148">
            <v>700075400</v>
          </cell>
          <cell r="E148" t="str">
            <v>COL. SEC. PARQUE RIVADAVIA NORTE</v>
          </cell>
          <cell r="F148" t="str">
            <v>LARRALDE Y PTE. PERÓN Bº PARQUE RIVADAVIA NORTE</v>
          </cell>
          <cell r="G148" t="str">
            <v>Rivadavia</v>
          </cell>
        </row>
        <row r="149">
          <cell r="B149" t="str">
            <v>MENOS DE 10 KM</v>
          </cell>
          <cell r="D149">
            <v>700027400</v>
          </cell>
          <cell r="E149" t="str">
            <v>PRIMARIA PRESIDENTE HIPOLITO YRIGOYEN</v>
          </cell>
          <cell r="F149" t="str">
            <v>Dr Augusto Echegaray 2364 (O)</v>
          </cell>
          <cell r="G149" t="str">
            <v>Capital</v>
          </cell>
        </row>
        <row r="150">
          <cell r="A150" t="str">
            <v>79G1C3D</v>
          </cell>
          <cell r="B150" t="str">
            <v>https://www.google.com/maps/dir/Catamarca+Sur+664,+San+Juan/Escuela+Rep%C3%BAblica+del+Paraguay,+Accesso+Difunta+Correa,+Vallecito,+San+Juan/@-31.652592,-68.5866477,78903m/data=!3m2!1e3!4b1!4m14!4m13!1m5!1m1!1s0x9681402690dd76eb:0x4b283f8fe10ce3f3!2m2!1d-68.5293761!2d-31.5426363!1m5!1m1!1s0x9681add8ee7abf53:0x4c8cb4d77394882!2m2!1d-67.9842616!2d-31.7365004!3e0?entry=ttu&amp;g_ep=EgoyMDI1MDUxMy4xIKXMDSoASAFQAw%3D%3D</v>
          </cell>
          <cell r="C150">
            <v>79.5</v>
          </cell>
          <cell r="D150">
            <v>700022100</v>
          </cell>
          <cell r="E150" t="str">
            <v>REPÚBLICA DEL PARAGUAY</v>
          </cell>
          <cell r="F150" t="str">
            <v>Ruta 141 Km 63</v>
          </cell>
          <cell r="G150" t="str">
            <v>Caucete</v>
          </cell>
        </row>
        <row r="151">
          <cell r="B151" t="str">
            <v>https://www.google.com/maps/dir/Catamarca+Sur+664,+J5402GSN+San+Juan/Escuela+Rafael+Obligado,+Villa+Basilio+Nievas,+San+Juan/@-31.5526162,-68.7127068,19747m/data=!3m2!1e3!4b1!4m14!4m13!1m5!1m1!1s0x9681402690dd76eb:0x4b283f8fe10ce3f3!2m2!1d-68.5293761!2d-31.5426363!1m5!1m1!1s0x9681488fd721e9ef:0xebd083423b94a500!2m2!1d-68.7298254!2d-31.5521921!3e0?entry=ttu&amp;g_ep=EgoyMDI1MDUxMy4xIKXMDSoASAFQAw%3D%3D</v>
          </cell>
          <cell r="C151">
            <v>23</v>
          </cell>
          <cell r="D151">
            <v>700029600</v>
          </cell>
          <cell r="E151" t="str">
            <v>RAFAEL OBLIGADO</v>
          </cell>
          <cell r="F151" t="str">
            <v>Ruta 12 Km 25. Zonda</v>
          </cell>
          <cell r="G151" t="str">
            <v>Zonda</v>
          </cell>
        </row>
        <row r="152">
          <cell r="B152" t="str">
            <v>https://www.google.com/maps/dir/Catamarca+Sur+664,+J5402GSN+San+Juan/Escuela+Elvira+de+La+Riestra+de+Lainez,+San+Juan/@-31.484643,-68.7154959,19761m/data=!3m2!1e3!4b1!4m14!4m13!1m5!1m1!1s0x9681402690dd76eb:0x4b283f8fe10ce3f3!2m2!1d-68.5293761!2d-31.5426363!1m5!1m1!1s0x96814f39c3ec0195:0xa22d5311c116c93f!2m2!1d-68.736792!2d-31.4618694!3e0?entry=ttu&amp;g_ep=EgoyMDI1MDUxMy4xIKXMDSoASAFQAw%3D%3D</v>
          </cell>
          <cell r="C152">
            <v>38.299999999999997</v>
          </cell>
          <cell r="D152">
            <v>700029200</v>
          </cell>
          <cell r="E152" t="str">
            <v>ELVIRA DE LA RIESTRA DE LÁINEZ</v>
          </cell>
          <cell r="F152" t="str">
            <v>Valentín Ruíz S/N</v>
          </cell>
          <cell r="G152" t="str">
            <v>Ulum</v>
          </cell>
        </row>
        <row r="153">
          <cell r="B153" t="str">
            <v>https://www.google.com/maps/dir/Catamarca+Sur+664,+San+Juan/ESCUELA+24+DE+SEPTIEMBRE+-+Villa+Mercedes,+Villa+Mercedes,+San+Juan/@-30.8151101,-69.9478381,318421m/data=!3m2!1e3!4b1!4m14!4m13!1m5!1m1!1s0x9681402690dd76eb:0x4b283f8fe10ce3f3!2m2!1d-68.5293761!2d-31.5426363!1m5!1m1!1s0x968344a5cb1dee57:0x32762593e2c7ec66!2m2!1d-68.7007588!2d-30.1057323!3e0?entry=ttu&amp;g_ep=EgoyMDI1MDUxMy4xIKXMDSoASAFQAw%3D%3D</v>
          </cell>
          <cell r="C153">
            <v>173</v>
          </cell>
          <cell r="D153">
            <v>700011700</v>
          </cell>
          <cell r="E153" t="str">
            <v>24 DE SEPTIEMBRE- EMER</v>
          </cell>
          <cell r="F153" t="str">
            <v>Eugenio Flores S/N.  Villa  Mercedes</v>
          </cell>
          <cell r="G153" t="str">
            <v>Jáchal</v>
          </cell>
        </row>
        <row r="154">
          <cell r="B154" t="str">
            <v>https://www.google.com/maps/place/Escuela+Pedro+de+Valdivia/@-31.823391,-68.5271193,615m/data=!3m1!1e3!4m15!1m8!3m7!1s0x9681223cf5ba2c69:0xa707c9e2b25f4453!2sCarpinter%C3%ADa,+San+Juan!3b1!8m2!3d-31.8183698!4d-68.5431349!16s%2Fg%2F1231xfzf!3m5!1s0x9681238a04a34c1d:0x9382b9cd51ec4845!8m2!3d-31.8216429!4d-68.528792!16s%2Fg%2F11qbh9k7lr?entry=ttu&amp;g_ep=EgoyMDI1MDUxMy4xIKXMDSoASAFQAw%3D%3D</v>
          </cell>
          <cell r="C154">
            <v>34.200000000000003</v>
          </cell>
          <cell r="D154">
            <v>700020400</v>
          </cell>
          <cell r="E154" t="str">
            <v>CARLOS N. VERGARA EMER</v>
          </cell>
          <cell r="F154" t="str">
            <v>Anacleto Gil  S/N Carpintería</v>
          </cell>
          <cell r="G154" t="str">
            <v>Pocito</v>
          </cell>
        </row>
        <row r="155">
          <cell r="B155" t="str">
            <v>https://www.google.com/maps/dir/Catamarca+Sur+664,+J5402GSN+San+Juan/Escuela+N%C2%BA+722+%22Provincia+de+Formosa%22,+Mitre,+Villa+San+Agust%C3%ADn,+San+Juan/@-31.194733,-68.5296269,158578m/data=!3m2!1e3!4b1!4m14!4m13!1m5!1m1!1s0x9681402690dd76eb:0x4b283f8fe10ce3f3!2m2!1d-68.5293761!2d-31.5426363!1m5!1m1!1s0x968275d69c4f062d:0xa147e5684e39f56d!2m2!1d-67.4670864!2d-30.6355!3e0?entry=ttu&amp;g_ep=EgoyMDI1MDUxMy4xIKXMDSoASAFQAw%3D%3D</v>
          </cell>
          <cell r="C155">
            <v>250</v>
          </cell>
          <cell r="D155">
            <v>700054600</v>
          </cell>
          <cell r="E155" t="str">
            <v>PROVINCIA DE FORMOSA</v>
          </cell>
          <cell r="F155" t="str">
            <v>Mitre y Gral Acha-Villa San Agustín</v>
          </cell>
          <cell r="G155" t="str">
            <v>Valle Fertil</v>
          </cell>
        </row>
        <row r="156">
          <cell r="A156" t="str">
            <v>79G3F8W</v>
          </cell>
          <cell r="B156" t="str">
            <v>https://www.google.com/maps/dir/Catamarca+Sur+664,+San+Juan/Escuela+Dr.+Luis+Agote,+Nueve+de+Julio,+San+Juan/@-31.566592,-68.5117372,9872m/data=!3m2!1e3!4b1!4m14!4m13!1m5!1m1!1s0x9681402690dd76eb:0x4b283f8fe10ce3f3!2m2!1d-68.5293761!2d-31.5426363!1m5!1m1!1s0x9681135bd23f119f:0xf4f5be61ec24ccf6!2m2!1d-68.4113758!2d-31.5916694!3e0?entry=ttu&amp;g_ep=EgoyMDI1MDUxMy4xIKXMDSoASAFQAw%3D%3D</v>
          </cell>
          <cell r="C156">
            <v>14.4</v>
          </cell>
          <cell r="D156">
            <v>700039500</v>
          </cell>
          <cell r="E156" t="str">
            <v>DR. LUIS AGOTE.</v>
          </cell>
          <cell r="F156" t="str">
            <v>Ruta Nacional N° 20 Km 13</v>
          </cell>
          <cell r="G156" t="str">
            <v>9 de Julio</v>
          </cell>
        </row>
        <row r="157">
          <cell r="B157" t="str">
            <v>https://www.google.com/maps/dir/Catamarca+Sur+664,+J5402GSN+San+Juan/ESCUELA+ALBERGUE+JOSEFA+RAM%C3%8DREZ+DE+GARCIA,+Pedernal,+San+Juan/@-31.9957414,-68.7753016,3474m/data=!3m1!1e3!4m14!4m13!1m5!1m1!1s0x9681402690dd76eb:0x4b283f8fe10ce3f3!2m2!1d-68.5293761!2d-31.5426363!1m5!1m1!1s0x9680d6536b72f469:0x8b9bcd0d8c80b725!2m2!1d-68.765062!2d-31.9967952!3e0?entry=ttu&amp;g_ep=EgoyMDI1MDUxMy4xIKXMDSoASAFQAw%3D%3D</v>
          </cell>
          <cell r="C157">
            <v>103</v>
          </cell>
          <cell r="D157">
            <v>700117300</v>
          </cell>
          <cell r="E157" t="str">
            <v>Escuela Secundaria Josefa Ramirez de García</v>
          </cell>
          <cell r="F157" t="str">
            <v>PÚBLICA S/N</v>
          </cell>
          <cell r="G157" t="str">
            <v>Sarmiento</v>
          </cell>
        </row>
        <row r="158">
          <cell r="A158" t="str">
            <v>79G1C02</v>
          </cell>
          <cell r="B158" t="str">
            <v>https://www.google.com/maps/dir/Catamarca+Sur+664,+J5402GSN+San+Juan/Escuela+Provincia+de+Neuqu%C3%A9n,+San+Juan/@-31.5129252,-68.5133802,9878m/data=!3m2!1e3!4b1!4m14!4m13!1m5!1m1!1s0x9681402690dd76eb:0x4b283f8fe10ce3f3!2m2!1d-68.5293761!2d-31.5426363!1m5!1m1!1s0x96816dc5f8246ea7:0xd43a86f488749db0!2m2!1d-68.4153889!2d-31.4871005!3e0?entry=ttu&amp;g_ep=EgoyMDI1MDUxMy4xIKXMDSoASAFQAw%3D%3D</v>
          </cell>
          <cell r="C158">
            <v>17.3</v>
          </cell>
          <cell r="D158">
            <v>700043400</v>
          </cell>
          <cell r="E158" t="str">
            <v>PROVINCIA DE NEUQUEN</v>
          </cell>
          <cell r="F158" t="str">
            <v>Nacional s/n</v>
          </cell>
          <cell r="G158" t="str">
            <v>San Martín</v>
          </cell>
        </row>
        <row r="159">
          <cell r="A159" t="str">
            <v>79G60BH</v>
          </cell>
          <cell r="B159" t="str">
            <v>https://www.google.com/maps/dir/Catamarca+Sur+664,+San+Juan/Escuela+Secundaria+Dr.+Saturnino+Salas,+El+Rinc%C3%B3n,+Caucete,+San+Juan/@-31.605525,-68.5020374,19736m/data=!3m1!1e3!4m15!4m14!1m5!1m1!1s0x9681402690dd76eb:0x4b283f8fe10ce3f3!2m2!1d-68.5293761!2d-31.5426363!1m5!1m1!1s0x96810f0fe4f99693:0xd38e2d0073a9d4ee!2m2!1d-68.3185158!2d-31.669672!3e0!5i1?entry=ttu&amp;g_ep=EgoyMDI1MDUxMy4xIKXMDSoASAFQAw%3D%3D</v>
          </cell>
          <cell r="C159">
            <v>40.299999999999997</v>
          </cell>
          <cell r="D159">
            <v>700018600</v>
          </cell>
          <cell r="E159" t="str">
            <v>DR. SATURNINO SALAS.</v>
          </cell>
          <cell r="F159" t="str">
            <v>B° 9 de Julio</v>
          </cell>
          <cell r="G159" t="str">
            <v>Caucete</v>
          </cell>
        </row>
        <row r="160">
          <cell r="B160" t="str">
            <v>https://www.google.com/maps/dir/Catamarca+Sur+664,+San+Juan/Escuela+Regimientos+De+Los+Patricios,+Albard%C3%B3n,+San+Juan/@-31.467983,-68.5899132,19765m/data=!3m2!1e3!4b1!4m14!4m13!1m5!1m1!1s0x9681402690dd76eb:0x4b283f8fe10ce3f3!2m2!1d-68.5293761!2d-31.5426363!1m5!1m1!1s0x9681687973275677:0x9f661bba693f96d9!2m2!1d-68.4853214!2d-31.3936555!3e0?entry=ttu&amp;g_ep=EgoyMDI1MDUxMy4xIKXMDSoASAFQAw%3D%3D</v>
          </cell>
          <cell r="C160">
            <v>20.9</v>
          </cell>
          <cell r="D160">
            <v>700106100</v>
          </cell>
          <cell r="E160" t="str">
            <v>Esc. Sec. REGIMIENTO DE PATRICIOS</v>
          </cell>
          <cell r="F160" t="str">
            <v>LA LAJA 4901 El Bosque - LAS LOMITAS</v>
          </cell>
          <cell r="G160" t="str">
            <v>ALBARDON</v>
          </cell>
        </row>
        <row r="161">
          <cell r="B161" t="str">
            <v>https://www.google.com/maps/dir/Catamarca+Sur+664,+J5402GSN+San+Juan/Escuela+Barrio+Nuevo+Cuyo,+Rivadavia,+San+Juan/@-31.5460425,-68.6163878,9874m/data=!3m1!1e3!4m15!4m14!1m5!1m1!1s0x9681402690dd76eb:0x4b283f8fe10ce3f3!2m2!1d-68.5293761!2d-31.5426363!1m5!1m1!1s0x9681472a3048f60f:0xf636a1e0f2f328e1!2m2!1d-68.6254195!2d-31.5464339!3e0!5i2?entry=ttu&amp;g_ep=EgoyMDI1MDUxMy4xIKXMDSoASAFQAw%3D%3D</v>
          </cell>
          <cell r="C161">
            <v>13.3</v>
          </cell>
          <cell r="D161">
            <v>700090100</v>
          </cell>
          <cell r="E161" t="str">
            <v>Nuevo Cuyo</v>
          </cell>
          <cell r="F161" t="str">
            <v>Proyectada y Comercio. La Bebida</v>
          </cell>
          <cell r="G161" t="str">
            <v>Rivadavia</v>
          </cell>
        </row>
        <row r="162">
          <cell r="B162" t="str">
            <v>https://www.google.com/maps/dir/Catamarca+Sur+664,+San+Juan/Escuela+Juan+Pedro+Esnaola,+San+Martin,+Calingasta,+San+Juan/@-31.3168764,-69.3255265,79186m/data=!3m2!1e3!4b1!4m14!4m13!1m5!1m1!1s0x9681402690dd76eb:0x4b283f8fe10ce3f3!2m2!1d-68.5293761!2d-31.5426363!1m5!1m1!1s0x9686934c786f1745:0xcc1c2e3b34bce5c5!2m2!1d-69.4740209!2d-31.6500625!3e0?entry=ttu&amp;g_ep=EgoyMDI1MDUxMy4xIKXMDSoASAFQAw%3D%3D</v>
          </cell>
          <cell r="C162">
            <v>211</v>
          </cell>
          <cell r="D162">
            <v>700022400</v>
          </cell>
          <cell r="E162" t="str">
            <v>JUAN PEDRO ESNAOLA</v>
          </cell>
          <cell r="F162" t="str">
            <v>San Martín s/n Barreal</v>
          </cell>
          <cell r="G162" t="str">
            <v>CALINGASTA</v>
          </cell>
        </row>
        <row r="163">
          <cell r="B163" t="str">
            <v>MENOS DE 10 KM</v>
          </cell>
          <cell r="D163">
            <v>700000200</v>
          </cell>
          <cell r="E163" t="str">
            <v>MARIANO NECOCHEA</v>
          </cell>
          <cell r="F163" t="str">
            <v>Roger Balet 2663 este. Las Piedritas.</v>
          </cell>
          <cell r="G163" t="str">
            <v>Santa Lucia</v>
          </cell>
        </row>
        <row r="164">
          <cell r="B164" t="str">
            <v>MENOS DE 10 KM</v>
          </cell>
          <cell r="D164">
            <v>700088800</v>
          </cell>
          <cell r="E164" t="str">
            <v>PROVINCIA DE TUCUMÁN</v>
          </cell>
          <cell r="F164" t="str">
            <v>HIRIGOYEN 775 SUR</v>
          </cell>
          <cell r="G164" t="str">
            <v>Rivadavia</v>
          </cell>
        </row>
        <row r="165">
          <cell r="B165" t="str">
            <v>https://www.google.com/maps/dir/Catamarca+Sur+664,+San+Juan/Bartolome+Del+Bono,+San+Juan/@-31.6818845,-68.5818359,39439m/data=!3m1!1e3!4m15!4m14!1m5!1m1!1s0x9681402690dd76eb:0x4b283f8fe10ce3f3!2m2!1d-68.5293761!2d-31.5426363!1m5!1m1!1s0x968103060f9848d7:0x45a04d443e384ee!2m2!1d-68.2915943!2d-31.8232407!3e0!5i2?entry=ttu&amp;g_ep=EgoyMDI1MDUxMy4xIKXMDSoASAFQAw%3D%3D</v>
          </cell>
          <cell r="C165">
            <v>52.3</v>
          </cell>
          <cell r="D165">
            <v>700104901</v>
          </cell>
          <cell r="E165" t="str">
            <v>ANEXO RAFAEL ALBERTO ARRIETA</v>
          </cell>
          <cell r="F165" t="str">
            <v>RUTA 279 ENTRE 21 Y 22 LA CHIMBERA</v>
          </cell>
          <cell r="G165" t="str">
            <v>25 de Mayo</v>
          </cell>
        </row>
        <row r="166">
          <cell r="B166" t="str">
            <v>https://www.google.com/maps/dir/Catamarca+Sur+664,+San+Juan/Escuela+Secundaria+%22Dr.+Juan+Carlos+Navarro%22,+Enc%C3%B3n,+San+Juan/@-31.8764001,-68.8218414,157424m/data=!3m2!1e3!4b1!4m14!4m13!1m5!1m1!1s0x9681402690dd76eb:0x4b283f8fe10ce3f3!2m2!1d-68.5293761!2d-31.5426363!1m5!1m1!1s0x96806b005e58812b:0x82cb74c854c8d0c8!2m2!1d-67.796947!2d-32.2153517!3e0?entry=ttu&amp;g_ep=EgoyMDI1MDUxMy4xIKXMDSoASAFQAw%3D%3D</v>
          </cell>
          <cell r="C166">
            <v>116</v>
          </cell>
          <cell r="D166">
            <v>700019400</v>
          </cell>
          <cell r="E166" t="str">
            <v>DR. JUAN CARLOS NAVARRO</v>
          </cell>
          <cell r="F166" t="str">
            <v>RUTA 20-KM 470-ENCON</v>
          </cell>
          <cell r="G166" t="str">
            <v>25 de Mayo</v>
          </cell>
        </row>
        <row r="167">
          <cell r="B167" t="str">
            <v>https://www.google.com/maps/dir/Catamarca+Sur+664,+San+Juan/Escuela+Transito+De+Oro,+y,+Pelayes+%26+Oratorio/@-31.5167737,-68.5423315,9877m/am=t/data=!3m1!1e3!4m14!4m13!1m5!1m1!1s0x9681402690dd76eb:0x4b283f8fe10ce3f3!2m2!1d-68.5293761!2d-31.5426363!1m5!1m1!1s0x96816bcb09391f43:0xcb17dca1cca91c2!2m2!1d-68.4751781!2d-31.4911146!3e0?entry=ttu&amp;g_ep=EgoyMDI1MDUxMy4xIKXMDSoASAFQAw%3D%3D</v>
          </cell>
          <cell r="C167">
            <v>10.5</v>
          </cell>
          <cell r="D167">
            <v>700099300</v>
          </cell>
          <cell r="E167" t="str">
            <v>ESC. SEC. TRANSITO DE ORO RODRIGUEZ</v>
          </cell>
          <cell r="F167" t="str">
            <v>ORATORIO S/N EL MOGOTE</v>
          </cell>
          <cell r="G167" t="str">
            <v>Chimbas</v>
          </cell>
        </row>
        <row r="168">
          <cell r="B168" t="str">
            <v>MENOS DE 10 KM</v>
          </cell>
          <cell r="D168">
            <v>700006500</v>
          </cell>
          <cell r="E168" t="str">
            <v>Teniente General Don Pedro Eugenio Aramburu</v>
          </cell>
          <cell r="F168" t="str">
            <v>Felix Aguilar Esquina Neuquén s/n</v>
          </cell>
          <cell r="G168" t="str">
            <v>Rawson</v>
          </cell>
        </row>
        <row r="169">
          <cell r="B169" t="str">
            <v>https://www.google.com/maps/place/Sta+Mar%C3%ADa+de+Oro,+J5427+Villa+Aberastain,+San+Juan/@-31.6591402,-68.5817368,872m/data=!3m1!1e3!4m6!3m5!1s0x96813e844de70acf:0xd781f9e83306022f!8m2!3d-31.6573191!4d-68.5798848!16s%2Fg%2F11bylbz5sg?entry=ttu&amp;g_ep=EgoyMDI1MDUxMy4xIKXMDSoASAFQAw%3D%3D</v>
          </cell>
          <cell r="C169">
            <v>19</v>
          </cell>
          <cell r="D169">
            <v>700056200</v>
          </cell>
          <cell r="E169" t="str">
            <v>Ingeniero Marco Antonio Zalazar</v>
          </cell>
          <cell r="F169" t="str">
            <v>Santa María de Oro 233 Sur Villa Aberastain</v>
          </cell>
          <cell r="G169" t="str">
            <v>Pocito</v>
          </cell>
        </row>
        <row r="170">
          <cell r="B170" t="str">
            <v>https://www.google.com/maps/dir/Catamarca+Sur+664,+J5402GSN+San+Juan/Escuela+Agrot%C3%A9cnica+Los+Pioneros,+San+Juan/@-31.5964713,-68.6014644,19738m/data=!3m2!1e3!4b1!4m14!4m13!1m5!1m1!1s0x9681402690dd76eb:0x4b283f8fe10ce3f3!2m2!1d-68.5293761!2d-31.5426363!1m5!1m1!1s0x968115e0a3b6bd09:0x5c4215b626f08e9c!2m2!1d-68.5012859!2d-31.649134!3e0?entry=ttu&amp;g_ep=EgoyMDI1MDUxMy4xIKXMDSoASAFQAw%3D%3D</v>
          </cell>
          <cell r="C170">
            <v>16.3</v>
          </cell>
          <cell r="D170">
            <v>700047200</v>
          </cell>
          <cell r="E170" t="str">
            <v>Agrotécnica Los Pioneros</v>
          </cell>
          <cell r="F170" t="str">
            <v>Belgrano s/n° entre 8 y 9 Médano de Oro - COLONIA MEDANO DE ORO</v>
          </cell>
          <cell r="G170" t="str">
            <v>Rawson</v>
          </cell>
        </row>
        <row r="171">
          <cell r="B171" t="str">
            <v>MENOS DE 10 KM</v>
          </cell>
          <cell r="D171">
            <v>700015500</v>
          </cell>
          <cell r="E171" t="str">
            <v>Provincia de Tucumán</v>
          </cell>
          <cell r="F171" t="str">
            <v>Pueyrredón 775 sur. V° Rodríguez Pinto</v>
          </cell>
          <cell r="G171" t="str">
            <v>Rivadavia</v>
          </cell>
        </row>
        <row r="172">
          <cell r="B172" t="str">
            <v>https://www.google.com/maps/dir/Catamarca+Sur+664,+San+Juan/Escuela+Florencia+Nightingale,+La+Chimbera,+San+Juan/@-31.6872016,-68.5327331,39437m/data=!3m2!1e3!4b1!4m14!4m13!1m5!1m1!1s0x9681402690dd76eb:0x4b283f8fe10ce3f3!2m2!1d-68.5293761!2d-31.5426363!1m5!1m1!1s0x9681038bb2ca75e1:0xd6b4ade33c666da2!2m2!1d-68.2546471!2d-31.8286578!3e0?entry=ttu&amp;g_ep=EgoyMDI1MDUxMy4xIKXMDSoASAFQAw%3D%3D</v>
          </cell>
          <cell r="C172">
            <v>58.8</v>
          </cell>
          <cell r="D172">
            <v>700057700</v>
          </cell>
          <cell r="E172" t="str">
            <v>FLORENCIA NIGHTINGALE</v>
          </cell>
          <cell r="F172" t="str">
            <v>Primitivo Albornoz s/n y Ruta 279</v>
          </cell>
          <cell r="G172" t="str">
            <v>25 de Mayo</v>
          </cell>
        </row>
        <row r="173">
          <cell r="B173" t="str">
            <v>https://www.google.com/maps/dir/Catamarca+Sur+664,+J5402GSN+San+Juan/Escuela+Dominguito,+Independencia,+Villa+Dominguito,+San+Juan/@-31.570002,-68.4971821,19743m/data=!3m2!1e3!4b1!4m14!4m13!1m5!1m1!1s0x9681402690dd76eb:0x4b283f8fe10ce3f3!2m2!1d-68.5293761!2d-31.5426363!1m5!1m1!1s0x96810d6097c2ad09:0x62120dc8ce8d04e1!2m2!1d-68.2999597!2d-31.5598657!3e0?entry=ttu&amp;g_ep=EgoyMDI1MDUxMy4xIKXMDSoASAFQAw%3D%3D</v>
          </cell>
          <cell r="C173">
            <v>31.5</v>
          </cell>
          <cell r="D173">
            <v>700042700</v>
          </cell>
          <cell r="E173" t="str">
            <v>DOMINGUITO</v>
          </cell>
          <cell r="F173" t="str">
            <v>Independencia s/n</v>
          </cell>
          <cell r="G173" t="str">
            <v>San Martín</v>
          </cell>
        </row>
        <row r="174">
          <cell r="B174" t="str">
            <v>https://www.google.com/maps/dir/Catamarca+Sur+664,+San+Juan/Escuela+Leonor+S%C3%A1nchez+de+Arancibia,+Caucete,+San+Juan/@-31.5967133,-68.4906667,19738m/data=!3m1!1e3!4m15!4m14!1m5!1m1!1s0x9681402690dd76eb:0x4b283f8fe10ce3f3!2m2!1d-68.5293761!2d-31.5426363!1m5!1m1!1s0x96810e5642ec52c9:0xf11e42f184869c0e!2m2!1d-68.2880184!2d-31.6523474!3e0!5i1?entry=ttu&amp;g_ep=EgoyMDI1MDUxMy4xIKXMDSoASAFQAw%3D%3D</v>
          </cell>
          <cell r="C174">
            <v>38.799999999999997</v>
          </cell>
          <cell r="D174">
            <v>700091800</v>
          </cell>
          <cell r="E174" t="str">
            <v>SECUNDARIA LEONOR SÁNCHEZ DE ARANCIBIA</v>
          </cell>
          <cell r="F174" t="str">
            <v>RUTA PCIAL. 270</v>
          </cell>
          <cell r="G174" t="str">
            <v>Caucete</v>
          </cell>
        </row>
        <row r="175">
          <cell r="B175" t="str">
            <v>https://www.google.com/maps/dir/Catamarca+Sur+664,+San+Juan/Escuela+%22Procesa+Sarmiento+de+Lenoir%22,+Nueve+de+Julio,+San+Juan/@-31.574474,-68.5365034,19742m/data=!3m2!1e3!4b1!4m14!4m13!1m5!1m1!1s0x9681402690dd76eb:0x4b283f8fe10ce3f3!2m2!1d-68.5293761!2d-31.5426363!1m5!1m1!1s0x968113fb8e211fe5:0x8461c97f5cdb0fba!2m2!1d-68.3785017!2d-31.6073618!3e0?entry=ttu&amp;g_ep=EgoyMDI1MDUxMy4xIKXMDSoASAFQAw%3D%3D</v>
          </cell>
          <cell r="C175">
            <v>17.899999999999999</v>
          </cell>
          <cell r="D175">
            <v>700039400</v>
          </cell>
          <cell r="E175" t="str">
            <v>PROCESA SARMIENTO DE LENOIR</v>
          </cell>
          <cell r="F175" t="str">
            <v>RUTA NAC. 20 KM 16- DISTRITO DE RINCÓN CERCADO</v>
          </cell>
          <cell r="G175" t="str">
            <v>9 de Julio</v>
          </cell>
        </row>
        <row r="176">
          <cell r="B176" t="str">
            <v>MENOS DE 10 KM</v>
          </cell>
          <cell r="D176">
            <v>700050300</v>
          </cell>
          <cell r="E176" t="str">
            <v>ESC. SEC. PROVINCIAL CHIMBAS I</v>
          </cell>
          <cell r="F176" t="str">
            <v>Patagonia entre Belgrano y Mancini</v>
          </cell>
          <cell r="G176" t="str">
            <v>Chimbas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43755-3E61-4BAC-A82A-038E0A78837E}">
  <dimension ref="A1:R355"/>
  <sheetViews>
    <sheetView tabSelected="1" workbookViewId="0">
      <pane ySplit="4" topLeftCell="A5" activePane="bottomLeft" state="frozen"/>
      <selection pane="bottomLeft" activeCell="N4" sqref="N4"/>
    </sheetView>
  </sheetViews>
  <sheetFormatPr baseColWidth="10" defaultRowHeight="14.25" x14ac:dyDescent="0.2"/>
  <cols>
    <col min="1" max="2" width="10" customWidth="1"/>
    <col min="3" max="3" width="4.7109375" customWidth="1"/>
    <col min="4" max="4" width="12.140625" customWidth="1"/>
    <col min="5" max="5" width="16.140625" customWidth="1"/>
    <col min="6" max="6" width="32.140625" customWidth="1"/>
    <col min="7" max="7" width="21.28515625" customWidth="1"/>
    <col min="8" max="8" width="12.7109375" customWidth="1"/>
    <col min="9" max="9" width="12.85546875" style="8" customWidth="1"/>
    <col min="10" max="10" width="6.7109375" style="8" bestFit="1" customWidth="1"/>
    <col min="11" max="11" width="12.140625" style="8" customWidth="1"/>
    <col min="12" max="12" width="8.7109375" customWidth="1"/>
  </cols>
  <sheetData>
    <row r="1" spans="1:18" ht="15" customHeight="1" x14ac:dyDescent="0.25">
      <c r="A1" s="1"/>
      <c r="B1" s="1"/>
      <c r="C1" s="2" t="s">
        <v>0</v>
      </c>
      <c r="D1" s="3" t="s">
        <v>1</v>
      </c>
      <c r="E1" s="4" t="s">
        <v>2</v>
      </c>
      <c r="F1" s="5" t="s">
        <v>3</v>
      </c>
      <c r="G1" s="6" t="s">
        <v>4</v>
      </c>
      <c r="H1" s="7" t="s">
        <v>5</v>
      </c>
      <c r="J1"/>
      <c r="K1"/>
      <c r="N1" s="9">
        <v>20420</v>
      </c>
    </row>
    <row r="2" spans="1:18" s="15" customFormat="1" ht="15" thickBot="1" x14ac:dyDescent="0.25">
      <c r="A2" s="10" t="s">
        <v>6</v>
      </c>
      <c r="B2" s="10" t="s">
        <v>7</v>
      </c>
      <c r="C2" s="10" t="s">
        <v>8</v>
      </c>
      <c r="D2" s="10" t="s">
        <v>9</v>
      </c>
      <c r="E2" s="10" t="s">
        <v>10</v>
      </c>
      <c r="F2" s="10" t="s">
        <v>11</v>
      </c>
      <c r="G2" s="10" t="s">
        <v>12</v>
      </c>
      <c r="H2" s="10" t="s">
        <v>13</v>
      </c>
      <c r="I2" s="10" t="s">
        <v>14</v>
      </c>
      <c r="J2" s="10" t="s">
        <v>15</v>
      </c>
      <c r="K2" s="10" t="s">
        <v>16</v>
      </c>
      <c r="L2" s="11" t="s">
        <v>17</v>
      </c>
      <c r="M2" s="12"/>
      <c r="N2" s="12"/>
      <c r="O2" s="13"/>
      <c r="P2" s="14"/>
      <c r="Q2" s="13"/>
      <c r="R2" s="13"/>
    </row>
    <row r="3" spans="1:18" s="23" customFormat="1" ht="21" customHeight="1" thickBot="1" x14ac:dyDescent="0.25">
      <c r="A3" s="16">
        <v>2</v>
      </c>
      <c r="B3" s="17" t="s">
        <v>18</v>
      </c>
      <c r="C3" s="18" t="s">
        <v>19</v>
      </c>
      <c r="D3" s="18" t="s">
        <v>20</v>
      </c>
      <c r="E3" s="18" t="s">
        <v>21</v>
      </c>
      <c r="F3" s="18" t="s">
        <v>22</v>
      </c>
      <c r="G3" s="18" t="s">
        <v>23</v>
      </c>
      <c r="H3" s="19">
        <v>20260311</v>
      </c>
      <c r="I3" s="15" t="e">
        <f t="shared" ref="I3" si="0">VLOOKUP(G3,DIOS,2,FALSE)</f>
        <v>#N/A</v>
      </c>
      <c r="J3" s="15" t="e">
        <f t="shared" ref="J3" si="1">VLOOKUP(G3,DIOS,5,FALSE)</f>
        <v>#N/A</v>
      </c>
      <c r="K3" s="15"/>
      <c r="L3" s="20" t="e">
        <f t="shared" ref="L3" si="2">VLOOKUP(G3,DIOS,4,FALSE)</f>
        <v>#N/A</v>
      </c>
      <c r="M3" s="21" t="str">
        <f t="shared" ref="M3:M66" si="3">HYPERLINK(N3)</f>
        <v>https://webagentes.canaldirecto.com.ar/incidents/view/829953-0</v>
      </c>
      <c r="N3" s="21" t="str">
        <f t="shared" ref="N3:N66" si="4">CONCATENATE("https://webagentes.canaldirecto.com.ar/incidents/view/",B3)</f>
        <v>https://webagentes.canaldirecto.com.ar/incidents/view/829953-0</v>
      </c>
      <c r="O3" s="21"/>
      <c r="P3" s="22"/>
    </row>
    <row r="4" spans="1:18" s="23" customFormat="1" ht="21" customHeight="1" thickBot="1" x14ac:dyDescent="0.25">
      <c r="A4" s="16">
        <v>2</v>
      </c>
      <c r="B4" s="17" t="s">
        <v>24</v>
      </c>
      <c r="C4" s="18" t="s">
        <v>19</v>
      </c>
      <c r="D4" s="18" t="s">
        <v>20</v>
      </c>
      <c r="E4" s="18" t="s">
        <v>21</v>
      </c>
      <c r="F4" s="18" t="s">
        <v>22</v>
      </c>
      <c r="G4" s="18" t="s">
        <v>23</v>
      </c>
      <c r="H4" s="19">
        <v>20260311</v>
      </c>
      <c r="I4" s="15" t="e">
        <f t="shared" ref="I4:I67" si="5">VLOOKUP(G4,DIOS,2,FALSE)</f>
        <v>#N/A</v>
      </c>
      <c r="J4" s="15" t="e">
        <f t="shared" ref="J4:J67" si="6">VLOOKUP(G4,DIOS,5,FALSE)</f>
        <v>#N/A</v>
      </c>
      <c r="K4" s="15"/>
      <c r="L4" s="20" t="e">
        <f t="shared" ref="L4:L67" si="7">VLOOKUP(G4,DIOS,4,FALSE)</f>
        <v>#N/A</v>
      </c>
      <c r="M4" s="21" t="str">
        <f t="shared" si="3"/>
        <v>https://webagentes.canaldirecto.com.ar/incidents/view/826309-4</v>
      </c>
      <c r="N4" s="21" t="str">
        <f t="shared" si="4"/>
        <v>https://webagentes.canaldirecto.com.ar/incidents/view/826309-4</v>
      </c>
      <c r="O4" s="21"/>
      <c r="P4" s="22"/>
    </row>
    <row r="5" spans="1:18" s="23" customFormat="1" ht="21" customHeight="1" thickBot="1" x14ac:dyDescent="0.25">
      <c r="A5" s="24">
        <v>3</v>
      </c>
      <c r="B5" s="25" t="s">
        <v>25</v>
      </c>
      <c r="C5" s="18" t="s">
        <v>19</v>
      </c>
      <c r="D5" s="18" t="s">
        <v>26</v>
      </c>
      <c r="E5" s="18" t="s">
        <v>27</v>
      </c>
      <c r="F5" s="18" t="s">
        <v>28</v>
      </c>
      <c r="G5" s="18" t="s">
        <v>29</v>
      </c>
      <c r="H5" s="26">
        <v>20260315</v>
      </c>
      <c r="I5" s="15" t="e">
        <f t="shared" si="5"/>
        <v>#N/A</v>
      </c>
      <c r="J5" s="15" t="e">
        <f t="shared" si="6"/>
        <v>#N/A</v>
      </c>
      <c r="K5" s="15"/>
      <c r="L5" s="20" t="e">
        <f t="shared" si="7"/>
        <v>#N/A</v>
      </c>
      <c r="M5" s="21" t="str">
        <f t="shared" si="3"/>
        <v>https://webagentes.canaldirecto.com.ar/incidents/view/829399-8</v>
      </c>
      <c r="N5" s="21" t="str">
        <f t="shared" si="4"/>
        <v>https://webagentes.canaldirecto.com.ar/incidents/view/829399-8</v>
      </c>
      <c r="O5" s="21"/>
      <c r="P5" s="22"/>
    </row>
    <row r="6" spans="1:18" s="23" customFormat="1" ht="21" customHeight="1" thickBot="1" x14ac:dyDescent="0.25">
      <c r="A6" s="16">
        <v>2</v>
      </c>
      <c r="B6" s="17" t="s">
        <v>30</v>
      </c>
      <c r="C6" s="18" t="s">
        <v>19</v>
      </c>
      <c r="D6" s="18" t="s">
        <v>20</v>
      </c>
      <c r="E6" s="18" t="s">
        <v>21</v>
      </c>
      <c r="F6" s="18" t="s">
        <v>22</v>
      </c>
      <c r="G6" s="18" t="s">
        <v>31</v>
      </c>
      <c r="H6" s="27">
        <v>20260331</v>
      </c>
      <c r="I6" s="15" t="e">
        <f t="shared" si="5"/>
        <v>#N/A</v>
      </c>
      <c r="J6" s="15" t="e">
        <f t="shared" si="6"/>
        <v>#N/A</v>
      </c>
      <c r="K6" s="15"/>
      <c r="L6" s="20" t="e">
        <f t="shared" si="7"/>
        <v>#N/A</v>
      </c>
      <c r="M6" s="21" t="str">
        <f t="shared" si="3"/>
        <v>https://webagentes.canaldirecto.com.ar/incidents/view/828581-0</v>
      </c>
      <c r="N6" s="21" t="str">
        <f t="shared" si="4"/>
        <v>https://webagentes.canaldirecto.com.ar/incidents/view/828581-0</v>
      </c>
      <c r="O6" s="21"/>
      <c r="P6" s="22"/>
    </row>
    <row r="7" spans="1:18" s="23" customFormat="1" ht="21" customHeight="1" thickBot="1" x14ac:dyDescent="0.25">
      <c r="A7" s="28">
        <v>1</v>
      </c>
      <c r="B7" s="29" t="s">
        <v>32</v>
      </c>
      <c r="C7" s="18" t="s">
        <v>19</v>
      </c>
      <c r="D7" s="18" t="s">
        <v>20</v>
      </c>
      <c r="E7" s="18" t="s">
        <v>27</v>
      </c>
      <c r="F7" s="18" t="s">
        <v>33</v>
      </c>
      <c r="G7" s="18" t="s">
        <v>34</v>
      </c>
      <c r="H7" s="30">
        <v>20260401</v>
      </c>
      <c r="I7" s="15" t="e">
        <f t="shared" si="5"/>
        <v>#N/A</v>
      </c>
      <c r="J7" s="15" t="e">
        <f t="shared" si="6"/>
        <v>#N/A</v>
      </c>
      <c r="K7" s="15"/>
      <c r="L7" s="20" t="e">
        <f t="shared" si="7"/>
        <v>#N/A</v>
      </c>
      <c r="M7" s="21" t="str">
        <f t="shared" si="3"/>
        <v>https://webagentes.canaldirecto.com.ar/incidents/view/828676-7</v>
      </c>
      <c r="N7" s="21" t="str">
        <f t="shared" si="4"/>
        <v>https://webagentes.canaldirecto.com.ar/incidents/view/828676-7</v>
      </c>
      <c r="O7" s="21"/>
      <c r="P7" s="22"/>
    </row>
    <row r="8" spans="1:18" s="23" customFormat="1" ht="21" customHeight="1" thickBot="1" x14ac:dyDescent="0.25">
      <c r="A8" s="16">
        <v>2</v>
      </c>
      <c r="B8" s="17" t="s">
        <v>35</v>
      </c>
      <c r="C8" s="18" t="s">
        <v>19</v>
      </c>
      <c r="D8" s="18" t="s">
        <v>36</v>
      </c>
      <c r="E8" s="18" t="s">
        <v>27</v>
      </c>
      <c r="F8" s="18" t="s">
        <v>37</v>
      </c>
      <c r="G8" s="18" t="s">
        <v>38</v>
      </c>
      <c r="H8" s="19">
        <v>20260406</v>
      </c>
      <c r="I8" s="15" t="str">
        <f t="shared" si="5"/>
        <v>Capital</v>
      </c>
      <c r="J8" s="15">
        <f t="shared" si="6"/>
        <v>15.4</v>
      </c>
      <c r="K8" s="15"/>
      <c r="L8" s="20" t="str">
        <f t="shared" si="7"/>
        <v>https://www.google.com/maps/dir/Catamarca+Sur+664,+San+Juan/Escuela+Barrio+Frondizi,+J5400+San+Juan/Catamarca+Sur+664,+San+Juan/@-31.5312724,-68.5606267,9876m/data=!3m2!1e3!4b1!4m20!4m19!1m5!1m1!1s0x9681402690dd76eb:0x4b283f8fe10ce3f3!2m2!1d-68.5293761!2d-31.5426363!1m5!1m1!1s0x96816a6de8a0fe01:0xf66aa74c5bbd16c9!2m2!1d-68.5114904!2d-31.5077075!1m5!1m1!1s0x9681402690dd76eb:0x4b283f8fe10ce3f3!2m2!1d-68.5293761!2d-31.5426363!3e0?entry=ttu&amp;g_ep=EgoyMDI1MDgxMy4wIKXMDSoASAFQAw%3D%3D</v>
      </c>
      <c r="M8" s="21" t="str">
        <f t="shared" si="3"/>
        <v>https://webagentes.canaldirecto.com.ar/incidents/view/829060-9</v>
      </c>
      <c r="N8" s="21" t="str">
        <f t="shared" si="4"/>
        <v>https://webagentes.canaldirecto.com.ar/incidents/view/829060-9</v>
      </c>
      <c r="O8" s="21"/>
      <c r="P8" s="22"/>
    </row>
    <row r="9" spans="1:18" s="23" customFormat="1" ht="21" customHeight="1" thickBot="1" x14ac:dyDescent="0.25">
      <c r="A9" s="16">
        <v>2</v>
      </c>
      <c r="B9" s="17" t="s">
        <v>39</v>
      </c>
      <c r="C9" s="18" t="s">
        <v>19</v>
      </c>
      <c r="D9" s="18" t="s">
        <v>36</v>
      </c>
      <c r="E9" s="18" t="s">
        <v>27</v>
      </c>
      <c r="F9" s="18" t="s">
        <v>40</v>
      </c>
      <c r="G9" s="18" t="s">
        <v>41</v>
      </c>
      <c r="H9" s="19">
        <v>20260406</v>
      </c>
      <c r="I9" s="15" t="str">
        <f t="shared" si="5"/>
        <v>Capital</v>
      </c>
      <c r="J9" s="15">
        <f t="shared" si="6"/>
        <v>13</v>
      </c>
      <c r="K9" s="15"/>
      <c r="L9" s="20" t="str">
        <f t="shared" si="7"/>
        <v>https://www.google.com/maps/dir/Catamarca+Sur+664,+San+Juan/E.N.I.+N%C2%BA+47,+J5400+San+Juan/@-31.5251206,-68.544867,4938m/data=!3m2!1e3!4b1!4m14!4m13!1m5!1m1!1s0x9681402690dd76eb:0x4b283f8fe10ce3f3!2m2!1d-68.5293761!2d-31.5426363!1m5!1m1!1s0x96816a6df61fc955:0x6f196967b0e55bbd!2m2!1d-68.5127847!2d-31.5076661!3e0?entry=ttu&amp;g_ep=EgoyMDI1MDYyOS4wIKXMDSoASAFQAw%3D%3D</v>
      </c>
      <c r="M9" s="21" t="str">
        <f t="shared" si="3"/>
        <v>https://webagentes.canaldirecto.com.ar/incidents/view/829059-3</v>
      </c>
      <c r="N9" s="21" t="str">
        <f t="shared" si="4"/>
        <v>https://webagentes.canaldirecto.com.ar/incidents/view/829059-3</v>
      </c>
      <c r="O9" s="21"/>
      <c r="P9" s="22"/>
    </row>
    <row r="10" spans="1:18" s="23" customFormat="1" ht="21" customHeight="1" thickBot="1" x14ac:dyDescent="0.25">
      <c r="A10" s="16">
        <v>2</v>
      </c>
      <c r="B10" s="17" t="s">
        <v>42</v>
      </c>
      <c r="C10" s="18" t="s">
        <v>19</v>
      </c>
      <c r="D10" s="18" t="s">
        <v>36</v>
      </c>
      <c r="E10" s="18" t="s">
        <v>27</v>
      </c>
      <c r="F10" s="18" t="s">
        <v>43</v>
      </c>
      <c r="G10" s="18" t="s">
        <v>44</v>
      </c>
      <c r="H10" s="19">
        <v>20260406</v>
      </c>
      <c r="I10" s="15" t="str">
        <f t="shared" si="5"/>
        <v>Capital</v>
      </c>
      <c r="J10" s="15">
        <f t="shared" si="6"/>
        <v>11.8</v>
      </c>
      <c r="K10" s="15"/>
      <c r="L10" s="20" t="str">
        <f t="shared" si="7"/>
        <v>https://www.google.com/maps/dir/Catamarca+Sur+664,+San+Juan/Escuela+Primaria+%22Mar%C3%ADa+Luisa+Villarino+de+Del+Carril%22,+Sgto.+Cabral+Oeste+1722,+J5400+San+Juan/Catamarca+Sur+664,+San+Juan/@-31.5374355,-68.5642218,4938m/data=!3m2!1e3!4b1!4m20!4m19!1m5!1m1!1s0x9681402690dd76eb:0x4b283f8fe10ce3f3!2m2!1d-68.5293761!2d-31.5426363!1m5!1m1!1s0x968141ba3dc83c0b:0x748a603839a43cee!2m2!1d-68.5556233!2d-31.5202168!1m5!1m1!1s0x9681402690dd76eb:0x4b283f8fe10ce3f3!2m2!1d-68.5293761!2d-31.5426363!3e0?entry=ttu&amp;g_ep=EgoyMDI1MDgxMy4wIKXMDSoASAFQAw%3D%3D</v>
      </c>
      <c r="M10" s="21" t="str">
        <f t="shared" si="3"/>
        <v>https://webagentes.canaldirecto.com.ar/incidents/view/829058-4</v>
      </c>
      <c r="N10" s="21" t="str">
        <f t="shared" si="4"/>
        <v>https://webagentes.canaldirecto.com.ar/incidents/view/829058-4</v>
      </c>
      <c r="O10" s="21"/>
      <c r="P10" s="22"/>
    </row>
    <row r="11" spans="1:18" s="23" customFormat="1" ht="21" customHeight="1" thickBot="1" x14ac:dyDescent="0.25">
      <c r="A11" s="16">
        <v>2</v>
      </c>
      <c r="B11" s="17" t="s">
        <v>45</v>
      </c>
      <c r="C11" s="18" t="s">
        <v>19</v>
      </c>
      <c r="D11" s="18" t="s">
        <v>36</v>
      </c>
      <c r="E11" s="18" t="s">
        <v>27</v>
      </c>
      <c r="F11" s="18" t="s">
        <v>46</v>
      </c>
      <c r="G11" s="18" t="s">
        <v>47</v>
      </c>
      <c r="H11" s="19">
        <v>20260406</v>
      </c>
      <c r="I11" s="15" t="str">
        <f t="shared" si="5"/>
        <v>CAPITAL</v>
      </c>
      <c r="J11" s="15">
        <f t="shared" si="6"/>
        <v>7</v>
      </c>
      <c r="K11" s="15"/>
      <c r="L11" s="20" t="str">
        <f t="shared" si="7"/>
        <v>https://www.google.com/maps/dir/Catamarca+Sur+664,+San+Juan/Escuela+Dr+Guillermo+Rawson,+San+Lorenzo+Este,+J5400+San+Juan/Catamarca+Sur+664,+San+Juan/@-31.5306428,-68.5482282,4938m/data=!3m2!1e3!4b1!4m20!4m19!1m5!1m1!1s0x9681402690dd76eb:0x4b283f8fe10ce3f3!2m2!1d-68.5293623!2d-31.542635!1m5!1m1!1s0x96816be080aeb59b:0xa4e687c72b4add02!2m2!1d-68.5244402!2d-31.5184813!1m5!1m1!1s0x9681402690dd76eb:0x4b283f8fe10ce3f3!2m2!1d-68.5293623!2d-31.542635!3e0?hl=es&amp;entry=ttu&amp;g_ep=EgoyMDI1MDgxOS4wIKXMDSoASAFQAw%3D%3D</v>
      </c>
      <c r="M11" s="21" t="str">
        <f t="shared" si="3"/>
        <v>https://webagentes.canaldirecto.com.ar/incidents/view/829057-5</v>
      </c>
      <c r="N11" s="21" t="str">
        <f t="shared" si="4"/>
        <v>https://webagentes.canaldirecto.com.ar/incidents/view/829057-5</v>
      </c>
      <c r="O11" s="21"/>
      <c r="P11" s="22"/>
    </row>
    <row r="12" spans="1:18" s="23" customFormat="1" ht="21" customHeight="1" thickBot="1" x14ac:dyDescent="0.25">
      <c r="A12" s="16">
        <v>2</v>
      </c>
      <c r="B12" s="17" t="s">
        <v>48</v>
      </c>
      <c r="C12" s="18" t="s">
        <v>19</v>
      </c>
      <c r="D12" s="18" t="s">
        <v>36</v>
      </c>
      <c r="E12" s="18" t="s">
        <v>27</v>
      </c>
      <c r="F12" s="18" t="s">
        <v>49</v>
      </c>
      <c r="G12" s="18" t="s">
        <v>50</v>
      </c>
      <c r="H12" s="19">
        <v>20260406</v>
      </c>
      <c r="I12" s="15" t="str">
        <f t="shared" si="5"/>
        <v>Capital</v>
      </c>
      <c r="J12" s="15">
        <f t="shared" si="6"/>
        <v>7</v>
      </c>
      <c r="K12" s="15"/>
      <c r="L12" s="20" t="str">
        <f t="shared" si="7"/>
        <v>https://www.google.com/maps/dir/Catamarca+Sur+664,+San+Juan/Escuela+Dr+Guillermo+Rawson,+San+Lorenzo+Este,+J5400+San+Juan/@-31.5304191,-68.5477252,4938m/data=!3m2!1e3!4b1!4m14!4m13!1m5!1m1!1s0x9681402690dd76eb:0x4b283f8fe10ce3f3!2m2!1d-68.5293761!2d-31.5426363!1m5!1m1!1s0x96816be080aeb59b:0xa4e687c72b4add02!2m2!1d-68.5244402!2d-31.5184813!3e0?hl=es&amp;entry=ttu&amp;g_ep=EgoyMDI1MDYyOS4wIKXMDSoASAFQAw%3D%3D</v>
      </c>
      <c r="M12" s="21" t="str">
        <f t="shared" si="3"/>
        <v>https://webagentes.canaldirecto.com.ar/incidents/view/829056-6</v>
      </c>
      <c r="N12" s="21" t="str">
        <f t="shared" si="4"/>
        <v>https://webagentes.canaldirecto.com.ar/incidents/view/829056-6</v>
      </c>
      <c r="O12" s="21"/>
      <c r="P12" s="22"/>
    </row>
    <row r="13" spans="1:18" s="23" customFormat="1" ht="21" customHeight="1" thickBot="1" x14ac:dyDescent="0.25">
      <c r="A13" s="16">
        <v>2</v>
      </c>
      <c r="B13" s="17" t="s">
        <v>51</v>
      </c>
      <c r="C13" s="18" t="s">
        <v>19</v>
      </c>
      <c r="D13" s="18" t="s">
        <v>36</v>
      </c>
      <c r="E13" s="18" t="s">
        <v>27</v>
      </c>
      <c r="F13" s="18" t="s">
        <v>52</v>
      </c>
      <c r="G13" s="18" t="s">
        <v>53</v>
      </c>
      <c r="H13" s="19">
        <v>20260406</v>
      </c>
      <c r="I13" s="15" t="str">
        <f t="shared" si="5"/>
        <v>Capital</v>
      </c>
      <c r="J13" s="15">
        <f t="shared" si="6"/>
        <v>11.8</v>
      </c>
      <c r="K13" s="15"/>
      <c r="L13" s="20" t="str">
        <f t="shared" si="7"/>
        <v>https://www.google.com/maps/dir/Catamarca+Sur+664,+San+Juan/Escuela+Primaria+%22Mar%C3%ADa+Luisa+Villarino+de+Del+Carril%22,+Sgto.+Cabral+Oeste+1722,+J5400+San+Juan/Catamarca+Sur+664,+San+Juan/@-31.5374355,-68.5642218,4938m/data=!3m2!1e3!4b1!4m20!4m19!1m5!1m1!1s0x9681402690dd76eb:0x4b283f8fe10ce3f3!2m2!1d-68.5293761!2d-31.5426363!1m5!1m1!1s0x968141ba3dc83c0b:0x748a603839a43cee!2m2!1d-68.5556233!2d-31.5202168!1m5!1m1!1s0x9681402690dd76eb:0x4b283f8fe10ce3f3!2m2!1d-68.5293761!2d-31.5426363!3e0?hl=es&amp;entry=ttu&amp;g_ep=EgoyMDI1MDgxMy4wIKXMDSoASAFQAw%3D%3D</v>
      </c>
      <c r="M13" s="21" t="str">
        <f t="shared" si="3"/>
        <v>https://webagentes.canaldirecto.com.ar/incidents/view/829055-7</v>
      </c>
      <c r="N13" s="21" t="str">
        <f t="shared" si="4"/>
        <v>https://webagentes.canaldirecto.com.ar/incidents/view/829055-7</v>
      </c>
      <c r="O13" s="21"/>
      <c r="P13" s="22"/>
    </row>
    <row r="14" spans="1:18" s="23" customFormat="1" ht="21" customHeight="1" thickBot="1" x14ac:dyDescent="0.25">
      <c r="A14" s="16">
        <v>2</v>
      </c>
      <c r="B14" s="17" t="s">
        <v>54</v>
      </c>
      <c r="C14" s="18" t="s">
        <v>19</v>
      </c>
      <c r="D14" s="18" t="s">
        <v>36</v>
      </c>
      <c r="E14" s="18" t="s">
        <v>27</v>
      </c>
      <c r="F14" s="18" t="s">
        <v>55</v>
      </c>
      <c r="G14" s="18" t="s">
        <v>56</v>
      </c>
      <c r="H14" s="19">
        <v>20260406</v>
      </c>
      <c r="I14" s="15" t="str">
        <f t="shared" si="5"/>
        <v>Capital</v>
      </c>
      <c r="J14" s="15">
        <f t="shared" si="6"/>
        <v>12.9</v>
      </c>
      <c r="K14" s="15"/>
      <c r="L14" s="20" t="str">
        <f t="shared" si="7"/>
        <v>https://www.google.com/maps/dir/Catamarca+Sur+664,+San+Juan/Escuela+Campa%C3%B1a+Del+Desierto,+Virgen+de+Lourdes+Oeste,+Perito+Moreno+Nte.+%26,+San+Juan/Catamarca+Sur+664,+San+Juan/@-31.5349888,-68.5642218,4938m/data=!3m2!1e3!4b1!4m20!4m19!1m5!1m1!1s0x9681402690dd76eb:0x4b283f8fe10ce3f3!2m2!1d-68.5293761!2d-31.5426363!1m5!1m1!1s0x968141ba22084fc3:0xdd8686ca2302f7ef!2m2!1d-68.5547699!2d-31.5146031!1m5!1m1!1s0x9681402690dd76eb:0x4b283f8fe10ce3f3!2m2!1d-68.5293761!2d-31.5426363!3e0?entry=ttu&amp;g_ep=EgoyMDI1MDgxMy4wIKXMDSoASAFQAw%3D%3D</v>
      </c>
      <c r="M14" s="21" t="str">
        <f t="shared" si="3"/>
        <v>https://webagentes.canaldirecto.com.ar/incidents/view/829054-8</v>
      </c>
      <c r="N14" s="21" t="str">
        <f t="shared" si="4"/>
        <v>https://webagentes.canaldirecto.com.ar/incidents/view/829054-8</v>
      </c>
      <c r="O14" s="21"/>
      <c r="P14" s="22"/>
    </row>
    <row r="15" spans="1:18" s="23" customFormat="1" ht="21" customHeight="1" thickBot="1" x14ac:dyDescent="0.25">
      <c r="A15" s="16">
        <v>2</v>
      </c>
      <c r="B15" s="17" t="s">
        <v>57</v>
      </c>
      <c r="C15" s="18" t="s">
        <v>19</v>
      </c>
      <c r="D15" s="18" t="s">
        <v>36</v>
      </c>
      <c r="E15" s="18" t="s">
        <v>27</v>
      </c>
      <c r="F15" s="18" t="s">
        <v>58</v>
      </c>
      <c r="G15" s="18" t="s">
        <v>59</v>
      </c>
      <c r="H15" s="19">
        <v>20260406</v>
      </c>
      <c r="I15" s="15" t="str">
        <f t="shared" si="5"/>
        <v>Capital</v>
      </c>
      <c r="J15" s="15">
        <f t="shared" si="6"/>
        <v>8.3000000000000007</v>
      </c>
      <c r="K15" s="15"/>
      <c r="L15" s="20" t="str">
        <f t="shared" si="7"/>
        <v>https://www.google.com/maps/dir/Catamarca+Sur+664,+San+Juan/Escuela+Fortabat,+Av.+Rioja+Sur,+J5400+San+Juan/Catamarca+Sur+664,+San+Juan/@-31.5297158,-68.5476339,4938m/data=!3m2!1e3!4b1!4m20!4m19!1m5!1m1!1s0x9681402690dd76eb:0x4b283f8fe10ce3f3!2m2!1d-68.5293623!2d-31.542635!1m5!1m1!1s0x96816bf226704fcd:0xafd88b88a921e91c!2m2!1d-68.5231261!2d-31.5167682!1m5!1m1!1s0x9681402690dd76eb:0x4b283f8fe10ce3f3!2m2!1d-68.5293623!2d-31.542635!3e0?hl=es&amp;entry=ttu&amp;g_ep=EgoyMDI1MDgxOS4wIKXMDSoASAFQAw%3D%3D</v>
      </c>
      <c r="M15" s="21" t="str">
        <f t="shared" si="3"/>
        <v>https://webagentes.canaldirecto.com.ar/incidents/view/829053-9</v>
      </c>
      <c r="N15" s="21" t="str">
        <f t="shared" si="4"/>
        <v>https://webagentes.canaldirecto.com.ar/incidents/view/829053-9</v>
      </c>
      <c r="O15" s="21"/>
      <c r="P15" s="22"/>
    </row>
    <row r="16" spans="1:18" s="23" customFormat="1" ht="21" customHeight="1" thickBot="1" x14ac:dyDescent="0.25">
      <c r="A16" s="24">
        <v>3</v>
      </c>
      <c r="B16" s="25" t="s">
        <v>60</v>
      </c>
      <c r="C16" s="18" t="s">
        <v>19</v>
      </c>
      <c r="D16" s="18" t="s">
        <v>36</v>
      </c>
      <c r="E16" s="18" t="s">
        <v>27</v>
      </c>
      <c r="F16" s="18" t="s">
        <v>61</v>
      </c>
      <c r="G16" s="18" t="s">
        <v>62</v>
      </c>
      <c r="H16" s="19">
        <v>20260406</v>
      </c>
      <c r="I16" s="15" t="str">
        <f t="shared" si="5"/>
        <v>Santa Lucía</v>
      </c>
      <c r="J16" s="15">
        <f t="shared" si="6"/>
        <v>20.6</v>
      </c>
      <c r="K16" s="15">
        <v>20.6</v>
      </c>
      <c r="L16" s="20" t="str">
        <f t="shared" si="7"/>
        <v>https://www.google.com/maps/dir/Catamarca+Sur+664,+J5402GSN+San+Juan/Escuela+Educaci%C3%B3n+Popular,+Calle+Balcarce,+Santa+Luc%C3%ADa,+San+Juan/Catamarca+Sur+664,+San+Juan/@-31.5325383,-68.5391735,9876m/data=!3m2!1e3!4b1!4m20!4m19!1m5!1m1!1s0x9681402690dd76eb:0x4b283f8fe10ce3f3!2m2!1d-68.5293761!2d-31.5426363!1m5!1m1!1s0x96816ba5f6f27531:0xb3a894976a201f82!2m2!1d-68.464924!2d-31.5102309!1m5!1m1!1s0x9681402690dd76eb:0x4b283f8fe10ce3f3!2m2!1d-68.5293761!2d-31.5426363!3e0?entry=ttu&amp;g_ep=EgoyMDI1MDgxMy4wIKXMDSoASAFQAw%3D%3D</v>
      </c>
      <c r="M16" s="21" t="str">
        <f t="shared" si="3"/>
        <v>https://webagentes.canaldirecto.com.ar/incidents/view/829052-0</v>
      </c>
      <c r="N16" s="21" t="str">
        <f t="shared" si="4"/>
        <v>https://webagentes.canaldirecto.com.ar/incidents/view/829052-0</v>
      </c>
      <c r="O16" s="21"/>
      <c r="P16" s="22"/>
    </row>
    <row r="17" spans="1:16" s="23" customFormat="1" ht="21" customHeight="1" thickBot="1" x14ac:dyDescent="0.25">
      <c r="A17" s="28">
        <v>1</v>
      </c>
      <c r="B17" s="29" t="s">
        <v>63</v>
      </c>
      <c r="C17" s="18" t="s">
        <v>19</v>
      </c>
      <c r="D17" s="18" t="s">
        <v>36</v>
      </c>
      <c r="E17" s="18" t="s">
        <v>27</v>
      </c>
      <c r="F17" s="18" t="s">
        <v>64</v>
      </c>
      <c r="G17" s="18" t="s">
        <v>65</v>
      </c>
      <c r="H17" s="19">
        <v>20260406</v>
      </c>
      <c r="I17" s="15" t="str">
        <f t="shared" si="5"/>
        <v>Santa Lucía</v>
      </c>
      <c r="J17" s="15">
        <f t="shared" si="6"/>
        <v>14.1</v>
      </c>
      <c r="K17" s="15"/>
      <c r="L17" s="20" t="str">
        <f t="shared" si="7"/>
        <v>https://www.google.com/maps/dir/Catamarca+Sur+664,+San+Juan/Escuela+Gral.+Balcarce,+J5411+Santa+Luc%C3%ADa,+San+Juan/Catamarca+Sur+664,+San+Juan/@-31.5387947,-68.5192985,4937m/data=!3m2!1e3!4b1!4m20!4m19!1m5!1m1!1s0x9681402690dd76eb:0x4b283f8fe10ce3f3!2m2!1d-68.5293761!2d-31.5426363!1m5!1m1!1s0x96816b198077af87:0x740eaf82e198a6fa!2m2!1d-68.4677311!2d-31.5336557!1m5!1m1!1s0x9681402690dd76eb:0x4b283f8fe10ce3f3!2m2!1d-68.5293761!2d-31.5426363!3e0?hl=es&amp;entry=ttu&amp;g_ep=EgoyMDI1MDczMC4wIKXMDSoASAFQAw%3D%3D</v>
      </c>
      <c r="M17" s="21" t="str">
        <f t="shared" si="3"/>
        <v>https://webagentes.canaldirecto.com.ar/incidents/view/829051-1</v>
      </c>
      <c r="N17" s="21" t="str">
        <f t="shared" si="4"/>
        <v>https://webagentes.canaldirecto.com.ar/incidents/view/829051-1</v>
      </c>
      <c r="O17" s="21"/>
      <c r="P17" s="22"/>
    </row>
    <row r="18" spans="1:16" s="23" customFormat="1" ht="21" customHeight="1" thickBot="1" x14ac:dyDescent="0.25">
      <c r="A18" s="28">
        <v>1</v>
      </c>
      <c r="B18" s="29" t="s">
        <v>66</v>
      </c>
      <c r="C18" s="18" t="s">
        <v>19</v>
      </c>
      <c r="D18" s="18" t="s">
        <v>36</v>
      </c>
      <c r="E18" s="18" t="s">
        <v>27</v>
      </c>
      <c r="F18" s="18" t="s">
        <v>64</v>
      </c>
      <c r="G18" s="18" t="s">
        <v>67</v>
      </c>
      <c r="H18" s="19">
        <v>20260406</v>
      </c>
      <c r="I18" s="15" t="str">
        <f t="shared" si="5"/>
        <v>Santa Lucía</v>
      </c>
      <c r="J18" s="15">
        <f t="shared" si="6"/>
        <v>14.1</v>
      </c>
      <c r="K18" s="15"/>
      <c r="L18" s="20" t="str">
        <f t="shared" si="7"/>
        <v>https://www.google.com/maps/dir/Catamarca+Sur+664,+San+Juan/Escuela+Gral.+Balcarce,+J5411+Santa+Luc%C3%ADa,+San+Juan/Catamarca+Sur+664,+San+Juan/@-31.5387947,-68.5192985,4937m/data=!3m2!1e3!4b1!4m20!4m19!1m5!1m1!1s0x9681402690dd76eb:0x4b283f8fe10ce3f3!2m2!1d-68.5293761!2d-31.5426363!1m5!1m1!1s0x96816b198077af87:0x740eaf82e198a6fa!2m2!1d-68.4677311!2d-31.5336557!1m5!1m1!1s0x9681402690dd76eb:0x4b283f8fe10ce3f3!2m2!1d-68.5293761!2d-31.5426363!3e0?hl=es&amp;entry=ttu&amp;g_ep=EgoyMDI1MDczMC4wIKXMDSoASAFQAw%3D%3D</v>
      </c>
      <c r="M18" s="21" t="str">
        <f t="shared" si="3"/>
        <v>https://webagentes.canaldirecto.com.ar/incidents/view/829050-2</v>
      </c>
      <c r="N18" s="21" t="str">
        <f t="shared" si="4"/>
        <v>https://webagentes.canaldirecto.com.ar/incidents/view/829050-2</v>
      </c>
      <c r="O18" s="21"/>
      <c r="P18" s="22"/>
    </row>
    <row r="19" spans="1:16" s="23" customFormat="1" ht="21" customHeight="1" thickBot="1" x14ac:dyDescent="0.25">
      <c r="A19" s="28">
        <v>1</v>
      </c>
      <c r="B19" s="29" t="s">
        <v>68</v>
      </c>
      <c r="C19" s="18" t="s">
        <v>19</v>
      </c>
      <c r="D19" s="18" t="s">
        <v>36</v>
      </c>
      <c r="E19" s="18" t="s">
        <v>27</v>
      </c>
      <c r="F19" s="18" t="s">
        <v>69</v>
      </c>
      <c r="G19" s="18" t="s">
        <v>70</v>
      </c>
      <c r="H19" s="19">
        <v>20260406</v>
      </c>
      <c r="I19" s="15" t="str">
        <f t="shared" si="5"/>
        <v>Santa Lucía</v>
      </c>
      <c r="J19" s="15">
        <f t="shared" si="6"/>
        <v>14</v>
      </c>
      <c r="K19" s="15"/>
      <c r="L19" s="20" t="str">
        <f t="shared" si="7"/>
        <v>https://maps.google.com/maps?q=-31.5445787%2C-68.4821146&amp;z=17&amp;hl=es</v>
      </c>
      <c r="M19" s="21" t="str">
        <f t="shared" si="3"/>
        <v>https://webagentes.canaldirecto.com.ar/incidents/view/829049-6</v>
      </c>
      <c r="N19" s="21" t="str">
        <f t="shared" si="4"/>
        <v>https://webagentes.canaldirecto.com.ar/incidents/view/829049-6</v>
      </c>
      <c r="O19" s="21"/>
      <c r="P19" s="22"/>
    </row>
    <row r="20" spans="1:16" s="23" customFormat="1" ht="21" customHeight="1" thickBot="1" x14ac:dyDescent="0.25">
      <c r="A20" s="28">
        <v>1</v>
      </c>
      <c r="B20" s="29" t="s">
        <v>71</v>
      </c>
      <c r="C20" s="18" t="s">
        <v>19</v>
      </c>
      <c r="D20" s="18" t="s">
        <v>36</v>
      </c>
      <c r="E20" s="18" t="s">
        <v>27</v>
      </c>
      <c r="F20" s="18" t="s">
        <v>72</v>
      </c>
      <c r="G20" s="18" t="s">
        <v>73</v>
      </c>
      <c r="H20" s="19">
        <v>20260406</v>
      </c>
      <c r="I20" s="15" t="str">
        <f t="shared" si="5"/>
        <v>Santa Lucia</v>
      </c>
      <c r="J20" s="15">
        <f t="shared" si="6"/>
        <v>11.1</v>
      </c>
      <c r="K20" s="15"/>
      <c r="L20" s="20" t="str">
        <f t="shared" si="7"/>
        <v>https://www.google.com/maps/dir/Catamarca+Sur+664,+San+Juan/E.P.E.T.+N%C2%B0+8+Escuela+Provincia+de+Corrientes,+Av.+Libertador+Gral.+San+Martin+Este+3124,+J5411+Santa+Luc%C3%ADa,+San+Juan/Catamarca+Sur+664,+San+Juan/@-31.5381161,-68.5259894,4937m/data=!3m2!1e3!4b1!4m20!4m19!1m5!1m1!1s0x9681402690dd76eb:0x4b283f8fe10ce3f3!2m2!1d-68.5293761!2d-31.5426363!1m5!1m1!1s0x96816ae3bce482ed:0x4c83b3a8c76876f1!2m2!1d-68.4810816!2d-31.5337868!1m5!1m1!1s0x9681402690dd76eb:0x4b283f8fe10ce3f3!2m2!1d-68.5293761!2d-31.5426363!3e0?hl=es&amp;entry=ttu&amp;g_ep=EgoyMDI1MDgxMy4wIKXMDSoASAFQAw%3D%3D</v>
      </c>
      <c r="M20" s="21" t="str">
        <f t="shared" si="3"/>
        <v>https://webagentes.canaldirecto.com.ar/incidents/view/829048-7</v>
      </c>
      <c r="N20" s="21" t="str">
        <f t="shared" si="4"/>
        <v>https://webagentes.canaldirecto.com.ar/incidents/view/829048-7</v>
      </c>
      <c r="O20" s="21"/>
      <c r="P20" s="22"/>
    </row>
    <row r="21" spans="1:16" s="23" customFormat="1" ht="21" customHeight="1" thickBot="1" x14ac:dyDescent="0.25">
      <c r="A21" s="28">
        <v>1</v>
      </c>
      <c r="B21" s="29" t="s">
        <v>74</v>
      </c>
      <c r="C21" s="18" t="s">
        <v>19</v>
      </c>
      <c r="D21" s="18" t="s">
        <v>36</v>
      </c>
      <c r="E21" s="18" t="s">
        <v>27</v>
      </c>
      <c r="F21" s="18" t="s">
        <v>75</v>
      </c>
      <c r="G21" s="18" t="s">
        <v>76</v>
      </c>
      <c r="H21" s="19">
        <v>20260406</v>
      </c>
      <c r="I21" s="15" t="str">
        <f t="shared" si="5"/>
        <v>Santa Lucía</v>
      </c>
      <c r="J21" s="15">
        <f t="shared" si="6"/>
        <v>11.2</v>
      </c>
      <c r="K21" s="15"/>
      <c r="L21" s="20" t="str">
        <f t="shared" si="7"/>
        <v>https://www.google.com/maps/dir/Catamarca+Sur+664,+San+Juan/E.P.E.T.+N%C2%B0+8+Escuela+Provincia+de+Corrientes,+Av.+Libertador+Gral.+San+Martin+Este+3124,+J5411+Santa+Luc%C3%ADa,+San+Juan/Catamarca+Sur+664,+San+Juan/@-31.5443301,-68.5259894,4937m/data=!3m1!1e3!4m20!4m19!1m5!1m1!1s0x9681402690dd76eb:0x4b283f8fe10ce3f3!2m2!1d-68.5293761!2d-31.5426363!1m5!1m1!1s0x96816ae3bce482ed:0x4c83b3a8c76876f1!2m2!1d-68.4810816!2d-31.5337868!1m5!1m1!1s0x9681402690dd76eb:0x4b283f8fe10ce3f3!2m2!1d-68.5293761!2d-31.5426363!3e0?hl=es&amp;entry=ttu&amp;g_ep=EgoyMDI1MDczMC4wIKXMDSoASAFQAw%3D%3D</v>
      </c>
      <c r="M21" s="21" t="str">
        <f t="shared" si="3"/>
        <v>https://webagentes.canaldirecto.com.ar/incidents/view/829047-8</v>
      </c>
      <c r="N21" s="21" t="str">
        <f t="shared" si="4"/>
        <v>https://webagentes.canaldirecto.com.ar/incidents/view/829047-8</v>
      </c>
      <c r="O21" s="21"/>
      <c r="P21" s="22"/>
    </row>
    <row r="22" spans="1:16" s="23" customFormat="1" ht="21" customHeight="1" thickBot="1" x14ac:dyDescent="0.25">
      <c r="A22" s="28">
        <v>1</v>
      </c>
      <c r="B22" s="29" t="s">
        <v>77</v>
      </c>
      <c r="C22" s="18" t="s">
        <v>19</v>
      </c>
      <c r="D22" s="18" t="s">
        <v>36</v>
      </c>
      <c r="E22" s="18" t="s">
        <v>27</v>
      </c>
      <c r="F22" s="18" t="s">
        <v>78</v>
      </c>
      <c r="G22" s="18" t="s">
        <v>79</v>
      </c>
      <c r="H22" s="19">
        <v>20260406</v>
      </c>
      <c r="I22" s="15" t="str">
        <f t="shared" si="5"/>
        <v>Santa Lucia</v>
      </c>
      <c r="J22" s="15">
        <f t="shared" si="6"/>
        <v>11.2</v>
      </c>
      <c r="K22" s="15"/>
      <c r="L22" s="20" t="str">
        <f t="shared" si="7"/>
        <v>https://www.google.com/maps/dir/Catamarca+Sur+664,+San+Juan/E.P.E.T.+N%C2%B0+8+Escuela+Provincia+de+Corrientes,+Av.+Libertador+Gral.+San+Martin+Este+3124,+J5411+Santa+Luc%C3%ADa,+San+Juan/Catamarca+Sur+664,+San+Juan/@-31.5443301,-68.5259894,4937m/data=!3m1!1e3!4m20!4m19!1m5!1m1!1s0x9681402690dd76eb:0x4b283f8fe10ce3f3!2m2!1d-68.5293761!2d-31.5426363!1m5!1m1!1s0x96816ae3bce482ed:0x4c83b3a8c76876f1!2m2!1d-68.4810816!2d-31.5337868!1m5!1m1!1s0x9681402690dd76eb:0x4b283f8fe10ce3f3!2m2!1d-68.5293761!2d-31.5426363!3e0?hl=es&amp;entry=ttu&amp;g_ep=EgoyMDI1MDczMC4wIKXMDSoASAFQAw%3D%3D</v>
      </c>
      <c r="M22" s="21" t="str">
        <f t="shared" si="3"/>
        <v>https://webagentes.canaldirecto.com.ar/incidents/view/829046-9</v>
      </c>
      <c r="N22" s="21" t="str">
        <f t="shared" si="4"/>
        <v>https://webagentes.canaldirecto.com.ar/incidents/view/829046-9</v>
      </c>
      <c r="O22" s="21"/>
      <c r="P22" s="22"/>
    </row>
    <row r="23" spans="1:16" s="23" customFormat="1" ht="21" customHeight="1" thickBot="1" x14ac:dyDescent="0.25">
      <c r="A23" s="28">
        <v>1</v>
      </c>
      <c r="B23" s="29" t="s">
        <v>80</v>
      </c>
      <c r="C23" s="18" t="s">
        <v>19</v>
      </c>
      <c r="D23" s="18" t="s">
        <v>36</v>
      </c>
      <c r="E23" s="18" t="s">
        <v>27</v>
      </c>
      <c r="F23" s="18" t="s">
        <v>81</v>
      </c>
      <c r="G23" s="18" t="s">
        <v>82</v>
      </c>
      <c r="H23" s="19">
        <v>20260406</v>
      </c>
      <c r="I23" s="15" t="str">
        <f t="shared" si="5"/>
        <v>SANTA LUCIA (COLONIA RICHET ZAPATA)</v>
      </c>
      <c r="J23" s="15">
        <f t="shared" si="6"/>
        <v>19</v>
      </c>
      <c r="K23" s="15"/>
      <c r="L23" s="20" t="str">
        <f t="shared" si="7"/>
        <v>https://www.google.com/maps/dir/Catamarca+Sur+664,+San+Juan/-31.5049317,-68.4866417/Catamarca+Sur+664,+San+Juan/@-31.5291908,-68.5499071,9876m/data=!3m2!1e3!4b1!4m15!4m14!1m5!1m1!1s0x9681402690dd76eb:0x4b283f8fe10ce3f3!2m2!1d-68.5293761!2d-31.5426363!1m0!1m5!1m1!1s0x9681402690dd76eb:0x4b283f8fe10ce3f3!2m2!1d-68.5293761!2d-31.5426363!3e0?hl=es&amp;entry=ttu&amp;g_ep=EgoyMDI1MDczMC4wIKXMDSoASAFQAw%3D%3D</v>
      </c>
      <c r="M23" s="21" t="str">
        <f t="shared" si="3"/>
        <v>https://webagentes.canaldirecto.com.ar/incidents/view/829045-0</v>
      </c>
      <c r="N23" s="21" t="str">
        <f t="shared" si="4"/>
        <v>https://webagentes.canaldirecto.com.ar/incidents/view/829045-0</v>
      </c>
      <c r="O23" s="21"/>
      <c r="P23" s="22"/>
    </row>
    <row r="24" spans="1:16" s="23" customFormat="1" ht="21" customHeight="1" thickBot="1" x14ac:dyDescent="0.25">
      <c r="A24" s="28">
        <v>1</v>
      </c>
      <c r="B24" s="29" t="s">
        <v>83</v>
      </c>
      <c r="C24" s="18" t="s">
        <v>19</v>
      </c>
      <c r="D24" s="18" t="s">
        <v>36</v>
      </c>
      <c r="E24" s="18" t="s">
        <v>27</v>
      </c>
      <c r="F24" s="18" t="s">
        <v>84</v>
      </c>
      <c r="G24" s="18" t="s">
        <v>85</v>
      </c>
      <c r="H24" s="19">
        <v>20260406</v>
      </c>
      <c r="I24" s="15" t="str">
        <f t="shared" si="5"/>
        <v>SANTA LUCIA</v>
      </c>
      <c r="J24" s="15">
        <f t="shared" si="6"/>
        <v>20.6</v>
      </c>
      <c r="K24" s="15">
        <v>20.6</v>
      </c>
      <c r="L24" s="20" t="str">
        <f t="shared" si="7"/>
        <v>https://www.google.com/maps/dir/Catamarca+Sur+664,+San+Juan/Escuela+Miguel+De+Cervantes+Saavedra,+Santa+Luc%C3%ADa,+San+Juan/Catamarca+Sur+664,+San+Juan/@-31.5408689,-68.5301016,9875m/data=!3m2!1e3!4b1!4m20!4m19!1m5!1m1!1s0x9681402690dd76eb:0x4b283f8fe10ce3f3!2m2!1d-68.5293623!2d-31.542635!1m5!1m1!1s0x96816b6e866049ad:0x173eae69eb8a3b0a!2m2!1d-68.4466532!2d-31.5271223!1m5!1m1!1s0x9681402690dd76eb:0x4b283f8fe10ce3f3!2m2!1d-68.5293623!2d-31.542635!3e0?hl=es&amp;entry=ttu&amp;g_ep=EgoyMDI1MDgxOS4wIKXMDSoASAFQAw%3D%3D</v>
      </c>
      <c r="M24" s="21" t="str">
        <f t="shared" si="3"/>
        <v>https://webagentes.canaldirecto.com.ar/incidents/view/829044-1</v>
      </c>
      <c r="N24" s="21" t="str">
        <f t="shared" si="4"/>
        <v>https://webagentes.canaldirecto.com.ar/incidents/view/829044-1</v>
      </c>
      <c r="O24" s="21"/>
      <c r="P24" s="22"/>
    </row>
    <row r="25" spans="1:16" s="23" customFormat="1" ht="21" customHeight="1" thickBot="1" x14ac:dyDescent="0.25">
      <c r="A25" s="28">
        <v>1</v>
      </c>
      <c r="B25" s="29" t="s">
        <v>86</v>
      </c>
      <c r="C25" s="18" t="s">
        <v>19</v>
      </c>
      <c r="D25" s="18" t="s">
        <v>36</v>
      </c>
      <c r="E25" s="18" t="s">
        <v>27</v>
      </c>
      <c r="F25" s="18" t="s">
        <v>87</v>
      </c>
      <c r="G25" s="18" t="s">
        <v>88</v>
      </c>
      <c r="H25" s="19">
        <v>20260406</v>
      </c>
      <c r="I25" s="15" t="str">
        <f t="shared" si="5"/>
        <v>Santa Lucía</v>
      </c>
      <c r="J25" s="15">
        <f t="shared" si="6"/>
        <v>7.4</v>
      </c>
      <c r="K25" s="15"/>
      <c r="L25" s="20" t="str">
        <f t="shared" si="7"/>
        <v>https://www.google.com/maps/dir/Catamarca+Sur+664,+San+Juan/Escuela+secundaria+Carlos+Pellegrini,+J5411+Santa+Luc%C3%ADa,+San+Juan/Catamarca+Sur+664,+San+Juan/@-31.5420971,-68.533231,4937m/data=!3m2!1e3!4b1!4m20!4m19!1m5!1m1!1s0x9681402690dd76eb:0x4b283f8fe10ce3f3!2m2!1d-68.5293761!2d-31.5426363!1m5!1m1!1s0x96816bda7b86d37b:0x905eb63fb65ace28!2m2!1d-68.495562!2d-31.5439719!1m5!1m1!1s0x9681402690dd76eb:0x4b283f8fe10ce3f3!2m2!1d-68.5293761!2d-31.5426363!3e0?hl=es&amp;entry=ttu&amp;g_ep=EgoyMDI1MDczMC4wIKXMDSoASAFQAw%3D%3D</v>
      </c>
      <c r="M25" s="21" t="str">
        <f t="shared" si="3"/>
        <v>https://webagentes.canaldirecto.com.ar/incidents/view/829043-2</v>
      </c>
      <c r="N25" s="21" t="str">
        <f t="shared" si="4"/>
        <v>https://webagentes.canaldirecto.com.ar/incidents/view/829043-2</v>
      </c>
      <c r="O25" s="21"/>
      <c r="P25" s="22"/>
    </row>
    <row r="26" spans="1:16" s="23" customFormat="1" ht="21" customHeight="1" thickBot="1" x14ac:dyDescent="0.25">
      <c r="A26" s="28">
        <v>1</v>
      </c>
      <c r="B26" s="29" t="s">
        <v>89</v>
      </c>
      <c r="C26" s="18" t="s">
        <v>19</v>
      </c>
      <c r="D26" s="18" t="s">
        <v>36</v>
      </c>
      <c r="E26" s="18" t="s">
        <v>27</v>
      </c>
      <c r="F26" s="18" t="s">
        <v>90</v>
      </c>
      <c r="G26" s="18" t="s">
        <v>91</v>
      </c>
      <c r="H26" s="19">
        <v>20260406</v>
      </c>
      <c r="I26" s="15" t="str">
        <f t="shared" si="5"/>
        <v>Santa Lucía</v>
      </c>
      <c r="J26" s="15">
        <f t="shared" si="6"/>
        <v>11</v>
      </c>
      <c r="K26" s="15"/>
      <c r="L26" s="20" t="str">
        <f t="shared" si="7"/>
        <v>https://www.google.com/maps/dir/Catamarca+Sur+664,+San+Juan/Colegio+Secundario+Juan+Pablo+Echague,+Hip%C3%B3lito+Yrigoyen+Este+3520,+J5411+Santa+Luc%C3%ADa,+San+Juan/@-31.5454202,-68.5266282,4937m/data=!3m2!1e3!4b1!4m14!4m13!1m5!1m1!1s0x9681402690dd76eb:0x4b283f8fe10ce3f3!2m2!1d-68.5293761!2d-31.5426363!1m5!1m1!1s0x96816ade9a2f81d3:0xb6b5f0fba0ba0ef9!2m2!1d-68.4823562!2d-31.5449916!3e0?entry=ttu&amp;g_ep=EgoyMDI1MDYyOS4wIKXMDSoASAFQAw%3D%3D</v>
      </c>
      <c r="M26" s="21" t="str">
        <f t="shared" si="3"/>
        <v>https://webagentes.canaldirecto.com.ar/incidents/view/829042-3</v>
      </c>
      <c r="N26" s="21" t="str">
        <f t="shared" si="4"/>
        <v>https://webagentes.canaldirecto.com.ar/incidents/view/829042-3</v>
      </c>
      <c r="O26" s="21"/>
      <c r="P26" s="22"/>
    </row>
    <row r="27" spans="1:16" s="23" customFormat="1" ht="21" customHeight="1" thickBot="1" x14ac:dyDescent="0.25">
      <c r="A27" s="28">
        <v>1</v>
      </c>
      <c r="B27" s="29" t="s">
        <v>92</v>
      </c>
      <c r="C27" s="18" t="s">
        <v>19</v>
      </c>
      <c r="D27" s="18" t="s">
        <v>36</v>
      </c>
      <c r="E27" s="18" t="s">
        <v>27</v>
      </c>
      <c r="F27" s="18" t="s">
        <v>93</v>
      </c>
      <c r="G27" s="18" t="s">
        <v>94</v>
      </c>
      <c r="H27" s="19">
        <v>20260406</v>
      </c>
      <c r="I27" s="15" t="str">
        <f t="shared" si="5"/>
        <v>Santa Lucia</v>
      </c>
      <c r="J27" s="15">
        <f t="shared" si="6"/>
        <v>14</v>
      </c>
      <c r="K27" s="15"/>
      <c r="L27" s="20" t="str">
        <f t="shared" si="7"/>
        <v>https://www.google.com/maps/dir/Catamarca+Sur+664,+San+Juan/Escuela+Gral.+Balcarce,+J5411+Santa+Luc%C3%ADa,+San+Juan/Catamarca+Sur+664,+San+Juan/@-31.5387947,-68.5192985,4937m/data=!3m2!1e3!4b1!4m20!4m19!1m5!1m1!1s0x9681402690dd76eb:0x4b283f8fe10ce3f3!2m2!1d-68.5293761!2d-31.5426363!1m5!1m1!1s0x96816b198077af87:0x740eaf82e198a6fa!2m2!1d-68.4677311!2d-31.5336557!1m5!1m1!1s0x9681402690dd76eb:0x4b283f8fe10ce3f3!2m2!1d-68.5293761!2d-31.5426363!3e0?hl=es&amp;entry=ttu&amp;g_ep=EgoyMDI1MDgxMy4wIKXMDSoASAFQAw%3D%3D</v>
      </c>
      <c r="M27" s="21" t="str">
        <f t="shared" si="3"/>
        <v>https://webagentes.canaldirecto.com.ar/incidents/view/829041-4</v>
      </c>
      <c r="N27" s="21" t="str">
        <f t="shared" si="4"/>
        <v>https://webagentes.canaldirecto.com.ar/incidents/view/829041-4</v>
      </c>
      <c r="O27" s="21"/>
      <c r="P27" s="22"/>
    </row>
    <row r="28" spans="1:16" s="23" customFormat="1" ht="21" customHeight="1" thickBot="1" x14ac:dyDescent="0.25">
      <c r="A28" s="28">
        <v>1</v>
      </c>
      <c r="B28" s="29" t="s">
        <v>95</v>
      </c>
      <c r="C28" s="18" t="s">
        <v>19</v>
      </c>
      <c r="D28" s="18" t="s">
        <v>36</v>
      </c>
      <c r="E28" s="18" t="s">
        <v>27</v>
      </c>
      <c r="F28" s="18" t="s">
        <v>96</v>
      </c>
      <c r="G28" s="18" t="s">
        <v>97</v>
      </c>
      <c r="H28" s="19">
        <v>20260406</v>
      </c>
      <c r="I28" s="15" t="str">
        <f t="shared" si="5"/>
        <v>Santa Lucia</v>
      </c>
      <c r="J28" s="15">
        <f t="shared" si="6"/>
        <v>19.5</v>
      </c>
      <c r="K28" s="15"/>
      <c r="L28" s="20" t="str">
        <f t="shared" si="7"/>
        <v>https://www.google.com/maps/dir/Catamarca+Sur+664,+San+Juan/Escuela+Jos%C3%A9+Pedro+Cortinez,+J5438,+San+Juan/Catamarca+Sur+664,+San+Juan/@-31.5389321,-68.5250184,9875m/data=!3m2!1e3!4b1!4m20!4m19!1m5!1m1!1s0x9681402690dd76eb:0x4b283f8fe10ce3f3!2m2!1d-68.5293761!2d-31.5426363!1m5!1m1!1s0x96816b5c547d50d7:0xa57027d1b7bfe409!2m2!1d-68.4379363!2d-31.5364264!1m5!1m1!1s0x9681402690dd76eb:0x4b283f8fe10ce3f3!2m2!1d-68.5293761!2d-31.5426363!3e0?hl=es&amp;entry=ttu&amp;g_ep=EgoyMDI1MDczMC4wIKXMDSoASAFQAw%3D%3D</v>
      </c>
      <c r="M28" s="21" t="str">
        <f t="shared" si="3"/>
        <v>https://webagentes.canaldirecto.com.ar/incidents/view/829040-5</v>
      </c>
      <c r="N28" s="21" t="str">
        <f t="shared" si="4"/>
        <v>https://webagentes.canaldirecto.com.ar/incidents/view/829040-5</v>
      </c>
      <c r="O28" s="21"/>
      <c r="P28" s="22"/>
    </row>
    <row r="29" spans="1:16" s="23" customFormat="1" ht="21" customHeight="1" thickBot="1" x14ac:dyDescent="0.25">
      <c r="A29" s="28">
        <v>1</v>
      </c>
      <c r="B29" s="29" t="s">
        <v>98</v>
      </c>
      <c r="C29" s="18" t="s">
        <v>19</v>
      </c>
      <c r="D29" s="18" t="s">
        <v>36</v>
      </c>
      <c r="E29" s="18" t="s">
        <v>27</v>
      </c>
      <c r="F29" s="18" t="s">
        <v>99</v>
      </c>
      <c r="G29" s="18" t="s">
        <v>100</v>
      </c>
      <c r="H29" s="19">
        <v>20260406</v>
      </c>
      <c r="I29" s="15" t="str">
        <f t="shared" si="5"/>
        <v>Santa Lucía</v>
      </c>
      <c r="J29" s="15">
        <f t="shared" si="6"/>
        <v>20.6</v>
      </c>
      <c r="K29" s="15"/>
      <c r="L29" s="20" t="str">
        <f t="shared" si="7"/>
        <v>https://www.google.com/maps/dir/Catamarca+Sur+664,+J5402GSN+San+Juan/Escuela+Educaci%C3%B3n+Popular,+Calle+Balcarce,+Santa+Luc%C3%ADa,+San+Juan/Catamarca+Sur+664,+San+Juan/@-31.5325383,-68.5391735,9876m/data=!3m2!1e3!4b1!4m20!4m19!1m5!1m1!1s0x9681402690dd76eb:0x4b283f8fe10ce3f3!2m2!1d-68.5293761!2d-31.5426363!1m5!1m1!1s0x96816ba5f6f27531:0xb3a894976a201f82!2m2!1d-68.464924!2d-31.5102309!1m5!1m1!1s0x9681402690dd76eb:0x4b283f8fe10ce3f3!2m2!1d-68.5293761!2d-31.5426363!3e0?entry=ttu&amp;g_ep=EgoyMDI1MDgxMy4wIKXMDSoASAFQAw%3D%3D</v>
      </c>
      <c r="M29" s="21" t="str">
        <f t="shared" si="3"/>
        <v>https://webagentes.canaldirecto.com.ar/incidents/view/829039-9</v>
      </c>
      <c r="N29" s="21" t="str">
        <f t="shared" si="4"/>
        <v>https://webagentes.canaldirecto.com.ar/incidents/view/829039-9</v>
      </c>
      <c r="O29" s="21"/>
      <c r="P29" s="22"/>
    </row>
    <row r="30" spans="1:16" s="23" customFormat="1" ht="21" customHeight="1" thickBot="1" x14ac:dyDescent="0.25">
      <c r="A30" s="28">
        <v>1</v>
      </c>
      <c r="B30" s="29" t="s">
        <v>101</v>
      </c>
      <c r="C30" s="18" t="s">
        <v>19</v>
      </c>
      <c r="D30" s="18" t="s">
        <v>36</v>
      </c>
      <c r="E30" s="18" t="s">
        <v>27</v>
      </c>
      <c r="F30" s="18" t="s">
        <v>102</v>
      </c>
      <c r="G30" s="18" t="s">
        <v>103</v>
      </c>
      <c r="H30" s="31">
        <v>20260407</v>
      </c>
      <c r="I30" s="15" t="str">
        <f t="shared" si="5"/>
        <v>Santa Lucia</v>
      </c>
      <c r="J30" s="15">
        <f t="shared" si="6"/>
        <v>12</v>
      </c>
      <c r="K30" s="15"/>
      <c r="L30" s="20" t="str">
        <f t="shared" si="7"/>
        <v>https://www.google.com/maps/dir/Catamarca+Sur+664,+San+Juan/Escuela+Primaria+%22Mariano+Necochea,+Balet,+J5411+Santa+Luc%C3%ADa,+San+Juan/@-31.531864,-68.5330359,4938m/data=!3m2!1e3!4b1!4m14!4m13!1m5!1m1!1s0x9681402690dd76eb:0x4b283f8fe10ce3f3!2m2!1d-68.5293761!2d-31.5426363!1m5!1m1!1s0x96816af5fe607d7f:0xd93faa3a9b4d0b83!2m2!1d-68.495193!2d-31.5220679!3e0?entry=ttu&amp;g_ep=EgoyMDI1MDYxNy4wIKXMDSoASAFQAw%3D%3D</v>
      </c>
      <c r="M30" s="21" t="str">
        <f t="shared" si="3"/>
        <v>https://webagentes.canaldirecto.com.ar/incidents/view/829334-1</v>
      </c>
      <c r="N30" s="21" t="str">
        <f t="shared" si="4"/>
        <v>https://webagentes.canaldirecto.com.ar/incidents/view/829334-1</v>
      </c>
      <c r="O30" s="21"/>
      <c r="P30" s="22"/>
    </row>
    <row r="31" spans="1:16" s="23" customFormat="1" ht="21" customHeight="1" thickBot="1" x14ac:dyDescent="0.25">
      <c r="A31" s="28">
        <v>1</v>
      </c>
      <c r="B31" s="29" t="s">
        <v>104</v>
      </c>
      <c r="C31" s="18" t="s">
        <v>19</v>
      </c>
      <c r="D31" s="18" t="s">
        <v>36</v>
      </c>
      <c r="E31" s="18" t="s">
        <v>27</v>
      </c>
      <c r="F31" s="18" t="s">
        <v>105</v>
      </c>
      <c r="G31" s="18" t="s">
        <v>106</v>
      </c>
      <c r="H31" s="31">
        <v>20260407</v>
      </c>
      <c r="I31" s="15" t="str">
        <f t="shared" si="5"/>
        <v>SANTA LUCIA</v>
      </c>
      <c r="J31" s="15">
        <f t="shared" si="6"/>
        <v>28.6</v>
      </c>
      <c r="K31" s="15">
        <v>28.6</v>
      </c>
      <c r="L31" s="20" t="str">
        <f t="shared" si="7"/>
        <v>https://www.google.com/maps/dir/Catamarca+Sur+664,+San+Juan/Escuela+Francisco+De+Villagra,+Hernan+Cortez,+San+Juan/Catamarca+Sur+664,+San+Juan/@-31.5557309,-68.5155084,9873m/data=!3m2!1e3!4b1!4m20!4m19!1m5!1m1!1s0x9681402690dd76eb:0x4b283f8fe10ce3f3!2m2!1d-68.5293761!2d-31.5426363!1m5!1m1!1s0x9681130e266e25c1:0xd0c9bf5d447bcdaf!2m2!1d-68.4174556!2d-31.5557721!1m5!1m1!1s0x9681402690dd76eb:0x4b283f8fe10ce3f3!2m2!1d-68.5293761!2d-31.5426363!3e0?hl=es&amp;entry=ttu&amp;g_ep=EgoyMDI1MDczMC4wIKXMDSoASAFQAw%3D%3D</v>
      </c>
      <c r="M31" s="21" t="str">
        <f t="shared" si="3"/>
        <v>https://webagentes.canaldirecto.com.ar/incidents/view/829301-3</v>
      </c>
      <c r="N31" s="21" t="str">
        <f t="shared" si="4"/>
        <v>https://webagentes.canaldirecto.com.ar/incidents/view/829301-3</v>
      </c>
      <c r="O31" s="21"/>
      <c r="P31" s="22"/>
    </row>
    <row r="32" spans="1:16" s="23" customFormat="1" ht="21" customHeight="1" thickBot="1" x14ac:dyDescent="0.25">
      <c r="A32" s="28">
        <v>1</v>
      </c>
      <c r="B32" s="29" t="s">
        <v>107</v>
      </c>
      <c r="C32" s="18" t="s">
        <v>19</v>
      </c>
      <c r="D32" s="18" t="s">
        <v>36</v>
      </c>
      <c r="E32" s="18" t="s">
        <v>27</v>
      </c>
      <c r="F32" s="18" t="s">
        <v>108</v>
      </c>
      <c r="G32" s="18" t="s">
        <v>109</v>
      </c>
      <c r="H32" s="31">
        <v>20260407</v>
      </c>
      <c r="I32" s="15" t="str">
        <f t="shared" si="5"/>
        <v>SANTA LUCIA</v>
      </c>
      <c r="J32" s="15">
        <f t="shared" si="6"/>
        <v>15.9</v>
      </c>
      <c r="K32" s="15"/>
      <c r="L32" s="20" t="str">
        <f t="shared" si="7"/>
        <v>google.com/maps/dir/Catamarca+Sur,+San+Juan/Escuela+Valle+Del+Tulum,+Hipólito+Yrigoyen+Este+5260,+J5411+San+Juan/Catamarca+Sur,+San+Juan/@-31.5485802,-68.5195504,4937m/data=!3m1!1e3!4m20!4m19!1m5!1m1!1s0x968140269756b7e1:0x3c38eb6d66eb45d!2m2!1d-68.5295918!2d-31.5427459!1m5!1m1!1s0x96816adeb8e824c3:0xefe66b4783b058f9!2m2!1d-68.4677813!2d-31.5542267!1m5!1m1!1s0x968140269756b7e1:0x3c38eb6d66eb45d!2m2!1d-68.5295918!2d-31.5427459!3e0?hl=es&amp;entry=ttu&amp;g_ep=EgoyMDI1MTAwOC4wIKXMDSoASAFQAw%3D%3D</v>
      </c>
      <c r="M32" s="21" t="str">
        <f t="shared" si="3"/>
        <v>https://webagentes.canaldirecto.com.ar/incidents/view/829300-4</v>
      </c>
      <c r="N32" s="21" t="str">
        <f t="shared" si="4"/>
        <v>https://webagentes.canaldirecto.com.ar/incidents/view/829300-4</v>
      </c>
      <c r="O32" s="21"/>
      <c r="P32" s="22"/>
    </row>
    <row r="33" spans="1:16" s="23" customFormat="1" ht="21" customHeight="1" thickBot="1" x14ac:dyDescent="0.25">
      <c r="A33" s="28">
        <v>1</v>
      </c>
      <c r="B33" s="29" t="s">
        <v>110</v>
      </c>
      <c r="C33" s="18" t="s">
        <v>19</v>
      </c>
      <c r="D33" s="18" t="s">
        <v>36</v>
      </c>
      <c r="E33" s="18" t="s">
        <v>27</v>
      </c>
      <c r="F33" s="18" t="s">
        <v>111</v>
      </c>
      <c r="G33" s="18" t="s">
        <v>112</v>
      </c>
      <c r="H33" s="31">
        <v>20260407</v>
      </c>
      <c r="I33" s="15" t="str">
        <f t="shared" si="5"/>
        <v>Santa Lucía</v>
      </c>
      <c r="J33" s="15">
        <f t="shared" si="6"/>
        <v>12.8</v>
      </c>
      <c r="K33" s="15"/>
      <c r="L33" s="20" t="str">
        <f t="shared" si="7"/>
        <v>https://www.google.com/maps/dir/Catamarca+Sur+664,+San+Juan/Centro+de+Educaci%C3%B3n+F%C3%ADsica+(CEF)+N%C2%B0+20+-+La+Granja,+Roque+S%C3%A1enz+Pe%C3%B1a+2930+este,+J5411+Santa+Luc%C3%ADa,+San+Juan/Catamarca+Sur+664,+San+Juan/@-31.5418062,-68.5312777,4937m/data=!3m2!1e3!4b1!4m20!4m19!1m5!1m1!1s0x9681402690dd76eb:0x4b283f8fe10ce3f3!2m2!1d-68.5293761!2d-31.5426363!1m5!1m1!1s0x96816af3d8746105:0x2bbfec6c23b8dbfe!2m2!1d-68.4918903!2d-31.529067!1m5!1m1!1s0x9681402690dd76eb:0x4b283f8fe10ce3f3!2m2!1d-68.5293761!2d-31.5426363!3e0?hl=es&amp;entry=ttu&amp;g_ep=EgoyMDI1MDczMC4wIKXMDSoASAFQAw%3D%3D</v>
      </c>
      <c r="M33" s="21" t="str">
        <f t="shared" si="3"/>
        <v>https://webagentes.canaldirecto.com.ar/incidents/view/829299-9</v>
      </c>
      <c r="N33" s="21" t="str">
        <f t="shared" si="4"/>
        <v>https://webagentes.canaldirecto.com.ar/incidents/view/829299-9</v>
      </c>
      <c r="O33" s="21"/>
      <c r="P33" s="22"/>
    </row>
    <row r="34" spans="1:16" s="23" customFormat="1" ht="21" customHeight="1" thickBot="1" x14ac:dyDescent="0.25">
      <c r="A34" s="28">
        <v>1</v>
      </c>
      <c r="B34" s="29" t="s">
        <v>113</v>
      </c>
      <c r="C34" s="18" t="s">
        <v>19</v>
      </c>
      <c r="D34" s="18" t="s">
        <v>36</v>
      </c>
      <c r="E34" s="18" t="s">
        <v>27</v>
      </c>
      <c r="F34" s="18" t="s">
        <v>114</v>
      </c>
      <c r="G34" s="18" t="s">
        <v>115</v>
      </c>
      <c r="H34" s="31">
        <v>20260407</v>
      </c>
      <c r="I34" s="15" t="str">
        <f t="shared" si="5"/>
        <v>Santa Lucía</v>
      </c>
      <c r="J34" s="15">
        <f t="shared" si="6"/>
        <v>14</v>
      </c>
      <c r="K34" s="15"/>
      <c r="L34" s="20" t="str">
        <f t="shared" si="7"/>
        <v>https://www.google.com/maps/dir/Catamarca+Sur+664,+San+Juan/Escuela+Antonia+Villascusa,+Tom%C3%A1s+Edison+Este+1729-1799,+J5411+San+Juan/Catamarca+Sur+664,+San+Juan/@-31.5333572,-68.5580263,9875m/data=!3m2!1e3!4b1!4m20!4m19!1m5!1m1!1s0x9681402690dd76eb:0x4b283f8fe10ce3f3!2m2!1d-68.5293761!2d-31.5426363!1m5!1m1!1s0x96816b7e9e35bcfd:0x9cb52cc743e74d46!2m2!1d-68.5031816!2d-31.5119522!1m5!1m1!1s0x9681402690dd76eb:0x4b283f8fe10ce3f3!2m2!1d-68.5293761!2d-31.5426363!3e0?hl=es&amp;entry=ttu&amp;g_ep=EgoyMDI1MDgxMy4wIKXMDSoASAFQAw%3D%3D</v>
      </c>
      <c r="M34" s="21" t="str">
        <f t="shared" si="3"/>
        <v>https://webagentes.canaldirecto.com.ar/incidents/view/829297-1</v>
      </c>
      <c r="N34" s="21" t="str">
        <f t="shared" si="4"/>
        <v>https://webagentes.canaldirecto.com.ar/incidents/view/829297-1</v>
      </c>
      <c r="O34" s="21"/>
      <c r="P34" s="22"/>
    </row>
    <row r="35" spans="1:16" s="23" customFormat="1" ht="21" customHeight="1" thickBot="1" x14ac:dyDescent="0.25">
      <c r="A35" s="28">
        <v>1</v>
      </c>
      <c r="B35" s="29" t="s">
        <v>116</v>
      </c>
      <c r="C35" s="18" t="s">
        <v>19</v>
      </c>
      <c r="D35" s="18" t="s">
        <v>36</v>
      </c>
      <c r="E35" s="18" t="s">
        <v>27</v>
      </c>
      <c r="F35" s="18" t="s">
        <v>117</v>
      </c>
      <c r="G35" s="18" t="s">
        <v>118</v>
      </c>
      <c r="H35" s="31">
        <v>20260407</v>
      </c>
      <c r="I35" s="15" t="str">
        <f t="shared" si="5"/>
        <v>SANTA LUCIA</v>
      </c>
      <c r="J35" s="15">
        <f t="shared" si="6"/>
        <v>7.9</v>
      </c>
      <c r="K35" s="15"/>
      <c r="L35" s="20" t="str">
        <f t="shared" si="7"/>
        <v>https://www.google.com/maps/dir/Catamarca+Sur+664,+San+Juan/E.E.E+Graciela+Cibeira+De+Cantoni,+J5411+Santa+Luc%C3%ADa,+San+Juan/Catamarca+Sur+664,+San+Juan/@-31.5484398,-68.5259579,2468m/data=!3m2!1e3!4b1!4m20!4m19!1m5!1m1!1s0x9681402690dd76eb:0x4b283f8fe10ce3f3!2m2!1d-68.5293761!2d-31.5426363!1m5!1m1!1s0x96816abfbba20d43:0xc73bc256a7feedcf!2m2!1d-68.5022201!2d-31.5466041!1m5!1m1!1s0x9681402690dd76eb:0x4b283f8fe10ce3f3!2m2!1d-68.5293761!2d-31.5426363!3e0?hl=es&amp;entry=ttu&amp;g_ep=EgoyMDI1MDczMC4wIKXMDSoASAFQAw%3D%3D</v>
      </c>
      <c r="M35" s="21" t="str">
        <f t="shared" si="3"/>
        <v>https://webagentes.canaldirecto.com.ar/incidents/view/829295-3</v>
      </c>
      <c r="N35" s="21" t="str">
        <f t="shared" si="4"/>
        <v>https://webagentes.canaldirecto.com.ar/incidents/view/829295-3</v>
      </c>
      <c r="O35" s="21"/>
      <c r="P35" s="22"/>
    </row>
    <row r="36" spans="1:16" s="23" customFormat="1" ht="21" customHeight="1" thickBot="1" x14ac:dyDescent="0.25">
      <c r="A36" s="28">
        <v>1</v>
      </c>
      <c r="B36" s="29" t="s">
        <v>119</v>
      </c>
      <c r="C36" s="18" t="s">
        <v>19</v>
      </c>
      <c r="D36" s="18" t="s">
        <v>36</v>
      </c>
      <c r="E36" s="18" t="s">
        <v>27</v>
      </c>
      <c r="F36" s="18" t="s">
        <v>120</v>
      </c>
      <c r="G36" s="18" t="s">
        <v>121</v>
      </c>
      <c r="H36" s="31">
        <v>20260407</v>
      </c>
      <c r="I36" s="15" t="str">
        <f t="shared" si="5"/>
        <v>Santa Lucia</v>
      </c>
      <c r="J36" s="15">
        <f t="shared" si="6"/>
        <v>10.199999999999999</v>
      </c>
      <c r="K36" s="15"/>
      <c r="L36" s="20" t="str">
        <f t="shared" si="7"/>
        <v>https://www.google.com/maps/dir/Catamarca+Sur+664,+San+Juan/Escuela+Amable+Jones,+F.+M.+Esqui%C3%BA+1402-1500,+J5400+Santa+Luc%C3%ADa,+San+Juan/Catamarca+Sur+664,+San+Juan/@-31.5411398,-68.5380516,4937m/data=!3m2!1e3!4b1!4m20!4m19!1m5!1m1!1s0x9681402690dd76eb:0x4b283f8fe10ce3f3!2m2!1d-68.5293761!2d-31.5426363!1m5!1m1!1s0x96816a8bdbcc4b51:0xd35d12133b2605e6!2m2!1d-68.5063977!2d-31.5274032!1m5!1m1!1s0x9681402690dd76eb:0x4b283f8fe10ce3f3!2m2!1d-68.5293761!2d-31.5426363!3e0?hl=es&amp;entry=ttu&amp;g_ep=EgoyMDI1MDczMC4wIKXMDSoASAFQAw%3D%3D</v>
      </c>
      <c r="M36" s="21" t="str">
        <f t="shared" si="3"/>
        <v>https://webagentes.canaldirecto.com.ar/incidents/view/829294-4</v>
      </c>
      <c r="N36" s="21" t="str">
        <f t="shared" si="4"/>
        <v>https://webagentes.canaldirecto.com.ar/incidents/view/829294-4</v>
      </c>
      <c r="O36" s="21"/>
      <c r="P36" s="22"/>
    </row>
    <row r="37" spans="1:16" s="23" customFormat="1" ht="21" customHeight="1" thickBot="1" x14ac:dyDescent="0.25">
      <c r="A37" s="28">
        <v>1</v>
      </c>
      <c r="B37" s="29" t="s">
        <v>122</v>
      </c>
      <c r="C37" s="18" t="s">
        <v>19</v>
      </c>
      <c r="D37" s="18" t="s">
        <v>36</v>
      </c>
      <c r="E37" s="18" t="s">
        <v>27</v>
      </c>
      <c r="F37" s="18" t="s">
        <v>123</v>
      </c>
      <c r="G37" s="18" t="s">
        <v>124</v>
      </c>
      <c r="H37" s="31">
        <v>20260407</v>
      </c>
      <c r="I37" s="15" t="str">
        <f t="shared" si="5"/>
        <v>Santa Lucia</v>
      </c>
      <c r="J37" s="15">
        <f t="shared" si="6"/>
        <v>10.199999999999999</v>
      </c>
      <c r="K37" s="15"/>
      <c r="L37" s="20" t="str">
        <f t="shared" si="7"/>
        <v>https://www.google.com/maps/dir/Catamarca+Sur+664,+San+Juan/Escuela+Amable+Jones,+F.+M.+Esqui%C3%BA+1402-1500,+J5400+Santa+Luc%C3%ADa,+San+Juan/Catamarca+Sur+664,+San+Juan/@-31.5411398,-68.5380516,4937m/data=!3m2!1e3!4b1!4m20!4m19!1m5!1m1!1s0x9681402690dd76eb:0x4b283f8fe10ce3f3!2m2!1d-68.5293761!2d-31.5426363!1m5!1m1!1s0x96816a8bdbcc4b51:0xd35d12133b2605e6!2m2!1d-68.5063977!2d-31.5274032!1m5!1m1!1s0x9681402690dd76eb:0x4b283f8fe10ce3f3!2m2!1d-68.5293761!2d-31.5426363!3e0?hl=es&amp;entry=ttu&amp;g_ep=EgoyMDI1MDgxMy4wIKXMDSoASAFQAw%3D%3D</v>
      </c>
      <c r="M37" s="21" t="str">
        <f t="shared" si="3"/>
        <v>https://webagentes.canaldirecto.com.ar/incidents/view/829293-5</v>
      </c>
      <c r="N37" s="21" t="str">
        <f t="shared" si="4"/>
        <v>https://webagentes.canaldirecto.com.ar/incidents/view/829293-5</v>
      </c>
      <c r="O37" s="21"/>
      <c r="P37" s="22"/>
    </row>
    <row r="38" spans="1:16" s="23" customFormat="1" ht="21" customHeight="1" thickBot="1" x14ac:dyDescent="0.25">
      <c r="A38" s="28">
        <v>1</v>
      </c>
      <c r="B38" s="29" t="s">
        <v>125</v>
      </c>
      <c r="C38" s="18" t="s">
        <v>19</v>
      </c>
      <c r="D38" s="18" t="s">
        <v>36</v>
      </c>
      <c r="E38" s="18" t="s">
        <v>27</v>
      </c>
      <c r="F38" s="18" t="s">
        <v>126</v>
      </c>
      <c r="G38" s="18" t="s">
        <v>127</v>
      </c>
      <c r="H38" s="31">
        <v>20260407</v>
      </c>
      <c r="I38" s="15" t="str">
        <f t="shared" si="5"/>
        <v>Santa Lucia</v>
      </c>
      <c r="J38" s="15">
        <f t="shared" si="6"/>
        <v>12</v>
      </c>
      <c r="K38" s="15"/>
      <c r="L38" s="20" t="str">
        <f t="shared" si="7"/>
        <v>https://www.google.com/maps/dir/Catamarca+Sur+664,+San+Juan/ENI+N%C2%B0+59,+Sgto.+M%C3%A9ndez,+J5400+San+Juan/@-31.5329639,-68.5572961,9876m/data=!3m2!1e3!4b1!4m14!4m13!1m5!1m1!1s0x9681402690dd76eb:0x4b283f8fe10ce3f3!2m2!1d-68.5293761!2d-31.5426363!1m5!1m1!1s0x96816b978fcf69b7:0xd945a15f83d67e67!2m2!1d-68.5034188!2d-31.5105508!3e0?hl=es&amp;entry=ttu&amp;g_ep=EgoyMDI1MDYyOS4wIKXMDSoASAFQAw%3D%3D</v>
      </c>
      <c r="M38" s="21" t="str">
        <f t="shared" si="3"/>
        <v>https://webagentes.canaldirecto.com.ar/incidents/view/829291-7</v>
      </c>
      <c r="N38" s="21" t="str">
        <f t="shared" si="4"/>
        <v>https://webagentes.canaldirecto.com.ar/incidents/view/829291-7</v>
      </c>
      <c r="O38" s="21"/>
      <c r="P38" s="22"/>
    </row>
    <row r="39" spans="1:16" s="23" customFormat="1" ht="21" customHeight="1" thickBot="1" x14ac:dyDescent="0.25">
      <c r="A39" s="28">
        <v>1</v>
      </c>
      <c r="B39" s="29" t="s">
        <v>128</v>
      </c>
      <c r="C39" s="18" t="s">
        <v>19</v>
      </c>
      <c r="D39" s="18" t="s">
        <v>36</v>
      </c>
      <c r="E39" s="18" t="s">
        <v>27</v>
      </c>
      <c r="F39" s="18" t="s">
        <v>129</v>
      </c>
      <c r="G39" s="18" t="s">
        <v>130</v>
      </c>
      <c r="H39" s="31">
        <v>20260407</v>
      </c>
      <c r="I39" s="15" t="str">
        <f t="shared" si="5"/>
        <v>Santa Lucia</v>
      </c>
      <c r="J39" s="15">
        <f t="shared" si="6"/>
        <v>13.9</v>
      </c>
      <c r="K39" s="15"/>
      <c r="L39" s="20" t="str">
        <f t="shared" si="7"/>
        <v>https://www.google.com/maps/dir/Catamarca+Sur+664,+San+Juan/E.N.I.+N%C2%BA+70,+J5411+Santa+Luc%C3%ADa,+San+Juan/Catamarca+Sur+664,+San+Juan/@-31.5378796,-68.5334489,4937m/data=!3m2!1e3!4b1!4m20!4m19!1m5!1m1!1s0x9681402690dd76eb:0x4b283f8fe10ce3f3!2m2!1d-68.5293761!2d-31.5426363!1m5!1m1!1s0x96816b2eb3224071:0x2e22d8b34dea0ce!2m2!1d-68.4953298!2d-31.5219788!1m5!1m1!1s0x9681402690dd76eb:0x4b283f8fe10ce3f3!2m2!1d-68.5293761!2d-31.5426363!3e0?hl=es&amp;entry=ttu&amp;g_ep=EgoyMDI1MDgxMy4wIKXMDSoASAFQAw%3D%3D</v>
      </c>
      <c r="M39" s="21" t="str">
        <f t="shared" si="3"/>
        <v>https://webagentes.canaldirecto.com.ar/incidents/view/829289-2</v>
      </c>
      <c r="N39" s="21" t="str">
        <f t="shared" si="4"/>
        <v>https://webagentes.canaldirecto.com.ar/incidents/view/829289-2</v>
      </c>
      <c r="O39" s="21"/>
      <c r="P39" s="22"/>
    </row>
    <row r="40" spans="1:16" s="23" customFormat="1" ht="21" customHeight="1" thickBot="1" x14ac:dyDescent="0.25">
      <c r="A40" s="28">
        <v>1</v>
      </c>
      <c r="B40" s="29" t="s">
        <v>131</v>
      </c>
      <c r="C40" s="18" t="s">
        <v>19</v>
      </c>
      <c r="D40" s="18" t="s">
        <v>36</v>
      </c>
      <c r="E40" s="18" t="s">
        <v>27</v>
      </c>
      <c r="F40" s="18" t="s">
        <v>132</v>
      </c>
      <c r="G40" s="18" t="s">
        <v>133</v>
      </c>
      <c r="H40" s="31">
        <v>20260407</v>
      </c>
      <c r="I40" s="15" t="str">
        <f t="shared" si="5"/>
        <v>SANTA LUCIA</v>
      </c>
      <c r="J40" s="15">
        <f t="shared" si="6"/>
        <v>12.4</v>
      </c>
      <c r="K40" s="15"/>
      <c r="L40" s="20" t="str">
        <f t="shared" si="7"/>
        <v>google.com/maps/dir/Catamarca+Sur,+San+Juan/Instituto+Superior+De+Educación+Física+N°+20+-+La+Granja,+Roque+Sáenz+Peña+Este+2952,+J5411+Santa+Lucía,+San+Juan/Catamarca+Sur,+San+Juan/@-31.5376989,-68.5302927,4938m/data=!3m1!1e3!4m20!4m19!1m5!1m1!1s0x968140269756b7e1:0x3c38eb6d66eb45d!2m2!1d-68.5295918!2d-31.5427459!1m5!1m1!1s0x96816af07e758135:0xb6511887d5c7be03!2m2!1d-68.4893112!2d-31.5290679!1m5!1m1!1s0x968140269756b7e1:0x3c38eb6d66eb45d!2m2!1d-68.5295918!2d-31.5427459!3e0?hl=es&amp;entry=ttu&amp;g_ep=EgoyMDI1MTAwOC4wIKXMDSoASAFQAw%3D%3D</v>
      </c>
      <c r="M40" s="21" t="str">
        <f t="shared" si="3"/>
        <v>https://webagentes.canaldirecto.com.ar/incidents/view/829288-3</v>
      </c>
      <c r="N40" s="21" t="str">
        <f t="shared" si="4"/>
        <v>https://webagentes.canaldirecto.com.ar/incidents/view/829288-3</v>
      </c>
      <c r="O40" s="21"/>
      <c r="P40" s="22"/>
    </row>
    <row r="41" spans="1:16" s="23" customFormat="1" ht="21" customHeight="1" thickBot="1" x14ac:dyDescent="0.25">
      <c r="A41" s="28">
        <v>1</v>
      </c>
      <c r="B41" s="29" t="s">
        <v>134</v>
      </c>
      <c r="C41" s="18" t="s">
        <v>19</v>
      </c>
      <c r="D41" s="18" t="s">
        <v>36</v>
      </c>
      <c r="E41" s="18" t="s">
        <v>27</v>
      </c>
      <c r="F41" s="18" t="s">
        <v>135</v>
      </c>
      <c r="G41" s="18" t="s">
        <v>136</v>
      </c>
      <c r="H41" s="31">
        <v>20260407</v>
      </c>
      <c r="I41" s="15" t="str">
        <f t="shared" si="5"/>
        <v>Santa Lucía</v>
      </c>
      <c r="J41" s="15">
        <f t="shared" si="6"/>
        <v>7.3</v>
      </c>
      <c r="K41" s="15"/>
      <c r="L41" s="20" t="str">
        <f t="shared" si="7"/>
        <v>https://www.google.com/maps/dir/Catamarca+Sur+664,+San+Juan/ENI+Ayac+Yanen,+J5411+Santa+Luc%C3%ADa,+San+Juan/Catamarca+Sur+664,+San+Juan/@-31.5416062,-68.5320392,4937m/data=!3m2!1e3!4b1!4m20!4m19!1m5!1m1!1s0x9681402690dd76eb:0x4b283f8fe10ce3f3!2m2!1d-68.5293761!2d-31.5426363!1m5!1m1!1s0x96816b697c5597df:0x82e9818b2cf1f67!2m2!1d-68.4954306!2d-31.5416302!1m5!1m1!1s0x9681402690dd76eb:0x4b283f8fe10ce3f3!2m2!1d-68.5293761!2d-31.5426363!3e0?hl=es&amp;entry=ttu&amp;g_ep=EgoyMDI1MDgxMy4wIKXMDSoASAFQAw%3D%3D</v>
      </c>
      <c r="M41" s="21" t="str">
        <f t="shared" si="3"/>
        <v>https://webagentes.canaldirecto.com.ar/incidents/view/829287-4</v>
      </c>
      <c r="N41" s="21" t="str">
        <f t="shared" si="4"/>
        <v>https://webagentes.canaldirecto.com.ar/incidents/view/829287-4</v>
      </c>
      <c r="O41" s="21"/>
      <c r="P41" s="22"/>
    </row>
    <row r="42" spans="1:16" s="23" customFormat="1" ht="21" customHeight="1" thickBot="1" x14ac:dyDescent="0.25">
      <c r="A42" s="28">
        <v>1</v>
      </c>
      <c r="B42" s="29" t="s">
        <v>137</v>
      </c>
      <c r="C42" s="18" t="s">
        <v>19</v>
      </c>
      <c r="D42" s="18" t="s">
        <v>36</v>
      </c>
      <c r="E42" s="18" t="s">
        <v>27</v>
      </c>
      <c r="F42" s="18" t="s">
        <v>138</v>
      </c>
      <c r="G42" s="18" t="s">
        <v>139</v>
      </c>
      <c r="H42" s="31">
        <v>20260407</v>
      </c>
      <c r="I42" s="15" t="str">
        <f t="shared" si="5"/>
        <v>Santa Lucía</v>
      </c>
      <c r="J42" s="15">
        <f t="shared" si="6"/>
        <v>7</v>
      </c>
      <c r="K42" s="15"/>
      <c r="L42" s="20" t="str">
        <f t="shared" si="7"/>
        <v>https://www.google.com/maps/dir/Catamarca+Sur+664,+San+Juan/-31.5415168,-68.4957177/@-31.5478201,-68.5332861,4937m/data=!3m2!1e3!4b1!4m9!4m8!1m5!1m1!1s0x9681402690dd76eb:0x4b283f8fe10ce3f3!2m2!1d-68.5293761!2d-31.5426363!1m0!3e0?hl=es&amp;entry=ttu&amp;g_ep=EgoyMDI1MDYxNy4wIKXMDSoASAFQAw%3D%3D</v>
      </c>
      <c r="M42" s="21" t="str">
        <f t="shared" si="3"/>
        <v>https://webagentes.canaldirecto.com.ar/incidents/view/829286-5</v>
      </c>
      <c r="N42" s="21" t="str">
        <f t="shared" si="4"/>
        <v>https://webagentes.canaldirecto.com.ar/incidents/view/829286-5</v>
      </c>
      <c r="O42" s="21"/>
      <c r="P42" s="22"/>
    </row>
    <row r="43" spans="1:16" s="23" customFormat="1" ht="21" customHeight="1" thickBot="1" x14ac:dyDescent="0.25">
      <c r="A43" s="16">
        <v>2</v>
      </c>
      <c r="B43" s="17" t="s">
        <v>140</v>
      </c>
      <c r="C43" s="18" t="s">
        <v>19</v>
      </c>
      <c r="D43" s="18" t="s">
        <v>26</v>
      </c>
      <c r="E43" s="18" t="s">
        <v>21</v>
      </c>
      <c r="F43" s="18" t="s">
        <v>22</v>
      </c>
      <c r="G43" s="18" t="s">
        <v>141</v>
      </c>
      <c r="H43" s="31">
        <v>20260407</v>
      </c>
      <c r="I43" s="15" t="e">
        <f t="shared" si="5"/>
        <v>#N/A</v>
      </c>
      <c r="J43" s="15" t="e">
        <f t="shared" si="6"/>
        <v>#N/A</v>
      </c>
      <c r="K43" s="15"/>
      <c r="L43" s="20" t="e">
        <f t="shared" si="7"/>
        <v>#N/A</v>
      </c>
      <c r="M43" s="21" t="str">
        <f t="shared" si="3"/>
        <v>https://webagentes.canaldirecto.com.ar/incidents/view/829061-8</v>
      </c>
      <c r="N43" s="21" t="str">
        <f t="shared" si="4"/>
        <v>https://webagentes.canaldirecto.com.ar/incidents/view/829061-8</v>
      </c>
      <c r="O43" s="21"/>
      <c r="P43" s="22"/>
    </row>
    <row r="44" spans="1:16" s="23" customFormat="1" ht="21" customHeight="1" thickBot="1" x14ac:dyDescent="0.25">
      <c r="A44" s="16">
        <v>2</v>
      </c>
      <c r="B44" s="17" t="s">
        <v>142</v>
      </c>
      <c r="C44" s="18" t="s">
        <v>19</v>
      </c>
      <c r="D44" s="18" t="s">
        <v>36</v>
      </c>
      <c r="E44" s="18" t="s">
        <v>27</v>
      </c>
      <c r="F44" s="18" t="s">
        <v>143</v>
      </c>
      <c r="G44" s="18" t="s">
        <v>144</v>
      </c>
      <c r="H44" s="32">
        <v>20260408</v>
      </c>
      <c r="I44" s="15" t="str">
        <f t="shared" si="5"/>
        <v>Capital</v>
      </c>
      <c r="J44" s="15">
        <f t="shared" si="6"/>
        <v>4.4000000000000004</v>
      </c>
      <c r="K44" s="15"/>
      <c r="L44" s="20" t="str">
        <f t="shared" si="7"/>
        <v>https://www.google.com/maps/dir/Catamarca+Sur+664,+San+Juan/Escuela+de+Educaci%C3%B3n+Especial+Jos%C3%A9+Terry,+Remberto+Baca+Sur,+Mariano+Moreno+Este+y,+J5402+San+Juan/Catamarca+Sur+664,+San+Juan/@-31.5435492,-68.5309164,2469m/data=!3m2!1e3!4b1!4m20!4m19!1m5!1m1!1s0x9681402690dd76eb:0x4b283f8fe10ce3f3!2m2!1d-68.5293761!2d-31.5426363!1m5!1m1!1s0x9681411e2a8f6291:0x74a9397bd482bf54!2m2!1d-68.5115326!2d-31.5454963!1m5!1m1!1s0x9681402690dd76eb:0x4b283f8fe10ce3f3!2m2!1d-68.5293761!2d-31.5426363!3e0?hl=es&amp;entry=ttu&amp;g_ep=EgoyMDI1MDczMC4wIKXMDSoASAFQAw%3D%3D</v>
      </c>
      <c r="M44" s="21" t="str">
        <f t="shared" si="3"/>
        <v>https://webagentes.canaldirecto.com.ar/incidents/view/829370-3</v>
      </c>
      <c r="N44" s="21" t="str">
        <f t="shared" si="4"/>
        <v>https://webagentes.canaldirecto.com.ar/incidents/view/829370-3</v>
      </c>
      <c r="O44" s="21"/>
      <c r="P44" s="22"/>
    </row>
    <row r="45" spans="1:16" s="23" customFormat="1" ht="21" customHeight="1" thickBot="1" x14ac:dyDescent="0.25">
      <c r="A45" s="16">
        <v>2</v>
      </c>
      <c r="B45" s="17" t="s">
        <v>145</v>
      </c>
      <c r="C45" s="18" t="s">
        <v>19</v>
      </c>
      <c r="D45" s="18" t="s">
        <v>20</v>
      </c>
      <c r="E45" s="18" t="s">
        <v>21</v>
      </c>
      <c r="F45" s="18" t="s">
        <v>22</v>
      </c>
      <c r="G45" s="18" t="s">
        <v>146</v>
      </c>
      <c r="H45" s="32">
        <v>20260408</v>
      </c>
      <c r="I45" s="15" t="e">
        <f t="shared" si="5"/>
        <v>#N/A</v>
      </c>
      <c r="J45" s="15" t="e">
        <f t="shared" si="6"/>
        <v>#N/A</v>
      </c>
      <c r="K45" s="15"/>
      <c r="L45" s="20" t="e">
        <f t="shared" si="7"/>
        <v>#N/A</v>
      </c>
      <c r="M45" s="21" t="str">
        <f t="shared" si="3"/>
        <v>https://webagentes.canaldirecto.com.ar/incidents/view/829328-0</v>
      </c>
      <c r="N45" s="21" t="str">
        <f t="shared" si="4"/>
        <v>https://webagentes.canaldirecto.com.ar/incidents/view/829328-0</v>
      </c>
      <c r="O45" s="21"/>
      <c r="P45" s="22"/>
    </row>
    <row r="46" spans="1:16" s="23" customFormat="1" ht="21" customHeight="1" thickBot="1" x14ac:dyDescent="0.25">
      <c r="A46" s="16">
        <v>2</v>
      </c>
      <c r="B46" s="17" t="s">
        <v>147</v>
      </c>
      <c r="C46" s="18" t="s">
        <v>19</v>
      </c>
      <c r="D46" s="18" t="s">
        <v>20</v>
      </c>
      <c r="E46" s="18" t="s">
        <v>21</v>
      </c>
      <c r="F46" s="18" t="s">
        <v>22</v>
      </c>
      <c r="G46" s="18" t="s">
        <v>31</v>
      </c>
      <c r="H46" s="32">
        <v>20260408</v>
      </c>
      <c r="I46" s="15" t="e">
        <f t="shared" si="5"/>
        <v>#N/A</v>
      </c>
      <c r="J46" s="15" t="e">
        <f t="shared" si="6"/>
        <v>#N/A</v>
      </c>
      <c r="K46" s="15"/>
      <c r="L46" s="20" t="e">
        <f t="shared" si="7"/>
        <v>#N/A</v>
      </c>
      <c r="M46" s="21" t="str">
        <f t="shared" si="3"/>
        <v>https://webagentes.canaldirecto.com.ar/incidents/view/829292-6</v>
      </c>
      <c r="N46" s="21" t="str">
        <f t="shared" si="4"/>
        <v>https://webagentes.canaldirecto.com.ar/incidents/view/829292-6</v>
      </c>
      <c r="O46" s="21"/>
      <c r="P46" s="22"/>
    </row>
    <row r="47" spans="1:16" s="23" customFormat="1" ht="21" customHeight="1" thickBot="1" x14ac:dyDescent="0.25">
      <c r="A47" s="24">
        <v>3</v>
      </c>
      <c r="B47" s="25" t="s">
        <v>148</v>
      </c>
      <c r="C47" s="18" t="s">
        <v>19</v>
      </c>
      <c r="D47" s="18" t="s">
        <v>20</v>
      </c>
      <c r="E47" s="18" t="s">
        <v>27</v>
      </c>
      <c r="F47" s="18" t="s">
        <v>149</v>
      </c>
      <c r="G47" s="18" t="s">
        <v>150</v>
      </c>
      <c r="H47" s="32">
        <v>20260408</v>
      </c>
      <c r="I47" s="15" t="e">
        <f t="shared" si="5"/>
        <v>#N/A</v>
      </c>
      <c r="J47" s="15" t="e">
        <f t="shared" si="6"/>
        <v>#N/A</v>
      </c>
      <c r="K47" s="15"/>
      <c r="L47" s="20" t="e">
        <f t="shared" si="7"/>
        <v>#N/A</v>
      </c>
      <c r="M47" s="21" t="str">
        <f t="shared" si="3"/>
        <v>https://webagentes.canaldirecto.com.ar/incidents/view/829208-7</v>
      </c>
      <c r="N47" s="21" t="str">
        <f t="shared" si="4"/>
        <v>https://webagentes.canaldirecto.com.ar/incidents/view/829208-7</v>
      </c>
      <c r="O47" s="21"/>
      <c r="P47" s="22"/>
    </row>
    <row r="48" spans="1:16" s="23" customFormat="1" ht="21" customHeight="1" thickBot="1" x14ac:dyDescent="0.25">
      <c r="A48" s="28">
        <v>1</v>
      </c>
      <c r="B48" s="29" t="s">
        <v>151</v>
      </c>
      <c r="C48" s="18" t="s">
        <v>19</v>
      </c>
      <c r="D48" s="18" t="s">
        <v>20</v>
      </c>
      <c r="E48" s="18" t="s">
        <v>27</v>
      </c>
      <c r="F48" s="18" t="s">
        <v>152</v>
      </c>
      <c r="G48" s="18" t="s">
        <v>153</v>
      </c>
      <c r="H48" s="32">
        <v>20260408</v>
      </c>
      <c r="I48" s="15" t="str">
        <f t="shared" si="5"/>
        <v>Pocito</v>
      </c>
      <c r="J48" s="15">
        <f t="shared" si="6"/>
        <v>45.6</v>
      </c>
      <c r="K48" s="15"/>
      <c r="L48" s="20" t="str">
        <f t="shared" si="7"/>
        <v>https://www.google.com/maps/dir/Catamarca+Sur+664,+San+Juan/Escuela+Jose+Rudecindo+Rojo,+RP9+4515,+Pocito,+San+Juan/Catamarca+Sur+664,+San+Juan/@-31.6197952,-68.6331276,19733m/data=!3m2!1e3!4b1!4m20!4m19!1m5!1m1!1s0x9681402690dd76eb:0x4b283f8fe10ce3f3!2m2!1d-68.5293623!2d-31.542635!1m5!1m1!1s0x96813c470215742d:0x806066b1c10f7539!2m2!1d-68.587748!2d-31.6930261!1m5!1m1!1s0x9681402690dd76eb:0x4b283f8fe10ce3f3!2m2!1d-68.5293623!2d-31.542635!3e0?hl=es&amp;entry=ttu&amp;g_ep=EgoyMDI1MDgxOS4wIKXMDSoASAFQAw%3D%3D</v>
      </c>
      <c r="M48" s="21" t="str">
        <f t="shared" si="3"/>
        <v>https://webagentes.canaldirecto.com.ar/incidents/view/829184-8</v>
      </c>
      <c r="N48" s="21" t="str">
        <f t="shared" si="4"/>
        <v>https://webagentes.canaldirecto.com.ar/incidents/view/829184-8</v>
      </c>
      <c r="O48" s="21"/>
      <c r="P48" s="22"/>
    </row>
    <row r="49" spans="1:16" s="23" customFormat="1" ht="21" customHeight="1" thickBot="1" x14ac:dyDescent="0.25">
      <c r="A49" s="24">
        <v>3</v>
      </c>
      <c r="B49" s="25" t="s">
        <v>154</v>
      </c>
      <c r="C49" s="18" t="s">
        <v>19</v>
      </c>
      <c r="D49" s="18" t="s">
        <v>20</v>
      </c>
      <c r="E49" s="18" t="s">
        <v>27</v>
      </c>
      <c r="F49" s="18" t="s">
        <v>155</v>
      </c>
      <c r="G49" s="18" t="s">
        <v>156</v>
      </c>
      <c r="H49" s="32">
        <v>20260408</v>
      </c>
      <c r="I49" s="15" t="e">
        <f t="shared" si="5"/>
        <v>#N/A</v>
      </c>
      <c r="J49" s="15" t="e">
        <f t="shared" si="6"/>
        <v>#N/A</v>
      </c>
      <c r="K49" s="15"/>
      <c r="L49" s="20" t="e">
        <f t="shared" si="7"/>
        <v>#N/A</v>
      </c>
      <c r="M49" s="21" t="str">
        <f t="shared" si="3"/>
        <v>https://webagentes.canaldirecto.com.ar/incidents/view/829062-7</v>
      </c>
      <c r="N49" s="21" t="str">
        <f t="shared" si="4"/>
        <v>https://webagentes.canaldirecto.com.ar/incidents/view/829062-7</v>
      </c>
      <c r="O49" s="21"/>
      <c r="P49" s="22"/>
    </row>
    <row r="50" spans="1:16" s="23" customFormat="1" ht="21" customHeight="1" thickBot="1" x14ac:dyDescent="0.25">
      <c r="A50" s="33"/>
      <c r="B50" s="18" t="s">
        <v>157</v>
      </c>
      <c r="C50" s="18" t="s">
        <v>19</v>
      </c>
      <c r="D50" s="18" t="s">
        <v>20</v>
      </c>
      <c r="E50" s="18" t="s">
        <v>27</v>
      </c>
      <c r="F50" s="18" t="s">
        <v>158</v>
      </c>
      <c r="G50" s="18" t="s">
        <v>159</v>
      </c>
      <c r="H50" s="32">
        <v>20260408</v>
      </c>
      <c r="I50" s="15" t="e">
        <f t="shared" si="5"/>
        <v>#N/A</v>
      </c>
      <c r="J50" s="15" t="e">
        <f t="shared" si="6"/>
        <v>#N/A</v>
      </c>
      <c r="K50" s="15" t="e">
        <v>#N/A</v>
      </c>
      <c r="L50" s="20" t="e">
        <f t="shared" si="7"/>
        <v>#N/A</v>
      </c>
      <c r="M50" s="21" t="str">
        <f t="shared" si="3"/>
        <v>https://webagentes.canaldirecto.com.ar/incidents/view/828974-6</v>
      </c>
      <c r="N50" s="21" t="str">
        <f t="shared" si="4"/>
        <v>https://webagentes.canaldirecto.com.ar/incidents/view/828974-6</v>
      </c>
      <c r="O50" s="21"/>
      <c r="P50" s="22"/>
    </row>
    <row r="51" spans="1:16" s="23" customFormat="1" ht="21" customHeight="1" thickBot="1" x14ac:dyDescent="0.25">
      <c r="A51" s="24">
        <v>3</v>
      </c>
      <c r="B51" s="25" t="s">
        <v>160</v>
      </c>
      <c r="C51" s="18" t="s">
        <v>19</v>
      </c>
      <c r="D51" s="18" t="s">
        <v>20</v>
      </c>
      <c r="E51" s="18" t="s">
        <v>27</v>
      </c>
      <c r="F51" s="18" t="s">
        <v>161</v>
      </c>
      <c r="G51" s="18" t="s">
        <v>162</v>
      </c>
      <c r="H51" s="32">
        <v>20260408</v>
      </c>
      <c r="I51" s="15" t="str">
        <f t="shared" si="5"/>
        <v>SANTA LUCIA</v>
      </c>
      <c r="J51" s="15">
        <f t="shared" si="6"/>
        <v>8.8000000000000007</v>
      </c>
      <c r="K51" s="15"/>
      <c r="L51" s="20" t="str">
        <f t="shared" si="7"/>
        <v>https://www.google.com/maps/dir/Catamarca+Sur,+San+Juan/Colegio+Provincial+de+Santa+Luc%C3%ADa,+s%2Fn,+Las+Piedritas,+(5411+Calle+4+de+Diciembre,+C.+Pedro+Echag%C3%BCe+Este+y,+J5411+Santa+Luc%C3%ADa,+San+Juan/Catamarca+Sur,+San+Juan/@-31.5358312,-68.524497,2469m/data=!3m2!1e3!4b1!4m20!4m19!1m5!1m1!1s0x968140269756b7e1:0x3c38eb6d66eb45d!2m2!1d-68.5295918!2d-31.5427459!1m5!1m1!1s0x96816af365201e01:0xce22b0f4554ca4a2!2m2!1d-68.4986909!2d-31.5286064!1m5!1m1!1s0x968140269756b7e1:0x3c38eb6d66eb45d!2m2!1d-68.5295918!2d-31.5427459!3e0?hl=es&amp;entry=ttu&amp;g_ep=EgoyMDI1MTIwOS4wIKXMDSoASAFQAw%3D%3D</v>
      </c>
      <c r="M51" s="21" t="str">
        <f t="shared" si="3"/>
        <v>https://webagentes.canaldirecto.com.ar/incidents/view/828962-1</v>
      </c>
      <c r="N51" s="21" t="str">
        <f t="shared" si="4"/>
        <v>https://webagentes.canaldirecto.com.ar/incidents/view/828962-1</v>
      </c>
      <c r="O51" s="21"/>
      <c r="P51" s="22"/>
    </row>
    <row r="52" spans="1:16" s="23" customFormat="1" ht="21" customHeight="1" thickBot="1" x14ac:dyDescent="0.25">
      <c r="A52" s="28">
        <v>1</v>
      </c>
      <c r="B52" s="29" t="s">
        <v>163</v>
      </c>
      <c r="C52" s="18" t="s">
        <v>19</v>
      </c>
      <c r="D52" s="18" t="s">
        <v>20</v>
      </c>
      <c r="E52" s="18" t="s">
        <v>27</v>
      </c>
      <c r="F52" s="18" t="s">
        <v>164</v>
      </c>
      <c r="G52" s="18" t="s">
        <v>165</v>
      </c>
      <c r="H52" s="32">
        <v>20260408</v>
      </c>
      <c r="I52" s="15" t="str">
        <f t="shared" si="5"/>
        <v>RAWSON</v>
      </c>
      <c r="J52" s="15">
        <f t="shared" si="6"/>
        <v>11.4</v>
      </c>
      <c r="K52" s="15"/>
      <c r="L52" s="20" t="str">
        <f t="shared" si="7"/>
        <v>https://www.google.com/maps/dir/Catamarca+Sur+664,+San+Juan/Escuela+San+Juan+Eudes,+Bah%C3%ADa+Blanca+Sur,+J5425+Villa+Krause,+San+Juan/Catamarca+Sur+664,+San+Juan/@-31.5558264,-68.5657451,4937m/data=!3m1!1e3!4m20!4m19!1m5!1m1!1s0x9681402690dd76eb:0x4b283f8fe10ce3f3!2m2!1d-68.5293623!2d-31.542635!1m5!1m1!1s0x9681412b2e33eae9:0xe137e7c260821fa4!2m2!1d-68.5622502!2d-31.5631841!1m5!1m1!1s0x9681402690dd76eb:0x4b283f8fe10ce3f3!2m2!1d-68.5293623!2d-31.542635!3e0?hl=es&amp;entry=ttu&amp;g_ep=EgoyMDI1MDgxOS4wIKXMDSoASAFQAw%3D%3D</v>
      </c>
      <c r="M52" s="21" t="str">
        <f t="shared" si="3"/>
        <v>https://webagentes.canaldirecto.com.ar/incidents/view/828934-8</v>
      </c>
      <c r="N52" s="21" t="str">
        <f t="shared" si="4"/>
        <v>https://webagentes.canaldirecto.com.ar/incidents/view/828934-8</v>
      </c>
      <c r="O52" s="21"/>
      <c r="P52" s="22"/>
    </row>
    <row r="53" spans="1:16" s="23" customFormat="1" ht="21" customHeight="1" thickBot="1" x14ac:dyDescent="0.25">
      <c r="A53" s="28">
        <v>1</v>
      </c>
      <c r="B53" s="29" t="s">
        <v>166</v>
      </c>
      <c r="C53" s="18" t="s">
        <v>19</v>
      </c>
      <c r="D53" s="18" t="s">
        <v>20</v>
      </c>
      <c r="E53" s="18" t="s">
        <v>27</v>
      </c>
      <c r="F53" s="18" t="s">
        <v>167</v>
      </c>
      <c r="G53" s="18" t="s">
        <v>168</v>
      </c>
      <c r="H53" s="32">
        <v>20260408</v>
      </c>
      <c r="I53" s="15" t="str">
        <f t="shared" si="5"/>
        <v>Pocito</v>
      </c>
      <c r="J53" s="15">
        <f t="shared" si="6"/>
        <v>47.8</v>
      </c>
      <c r="K53" s="15">
        <v>47.8</v>
      </c>
      <c r="L53" s="20" t="str">
        <f t="shared" si="7"/>
        <v>https://www.google.com/maps/dir/Catamarca+Sur+664,+San+Juan/Escuela+Tierra+del+Fuego,+San+Juan/Catamarca+Sur+664,+San+Juan/@-31.6197952,-68.6397336,19733m/data=!3m2!1e3!4b1!4m20!4m19!1m5!1m1!1s0x9681402690dd76eb:0x4b283f8fe10ce3f3!2m2!1d-68.5293761!2d-31.5426363!1m5!1m1!1s0x96813d83ce085a23:0xc633c4def734f971!2m2!1d-68.6008086!2d-31.6868065!1m5!1m1!1s0x9681402690dd76eb:0x4b283f8fe10ce3f3!2m2!1d-68.5293761!2d-31.5426363!3e0?entry=ttu&amp;g_ep=EgoyMDI1MDgxMy4wIKXMDSoASAFQAw%3D%3D</v>
      </c>
      <c r="M53" s="21" t="str">
        <f t="shared" si="3"/>
        <v>https://webagentes.canaldirecto.com.ar/incidents/view/828924-1</v>
      </c>
      <c r="N53" s="21" t="str">
        <f t="shared" si="4"/>
        <v>https://webagentes.canaldirecto.com.ar/incidents/view/828924-1</v>
      </c>
      <c r="O53" s="21"/>
      <c r="P53" s="22"/>
    </row>
    <row r="54" spans="1:16" s="23" customFormat="1" ht="21" customHeight="1" thickBot="1" x14ac:dyDescent="0.25">
      <c r="A54" s="34">
        <v>4</v>
      </c>
      <c r="B54" s="19" t="s">
        <v>169</v>
      </c>
      <c r="C54" s="18" t="s">
        <v>19</v>
      </c>
      <c r="D54" s="18" t="s">
        <v>20</v>
      </c>
      <c r="E54" s="18" t="s">
        <v>27</v>
      </c>
      <c r="F54" s="18" t="s">
        <v>170</v>
      </c>
      <c r="G54" s="18" t="s">
        <v>171</v>
      </c>
      <c r="H54" s="32">
        <v>20260408</v>
      </c>
      <c r="I54" s="15" t="str">
        <f t="shared" si="5"/>
        <v>VALLE FÉRTIL</v>
      </c>
      <c r="J54" s="15">
        <f t="shared" si="6"/>
        <v>570</v>
      </c>
      <c r="K54" s="15">
        <v>570</v>
      </c>
      <c r="L54" s="20" t="str">
        <f t="shared" si="7"/>
        <v>https://www.google.com/maps/dir/Catamarca+Sur+664,+San+Juan/Escuela+Armada+Argentina,+Baldecitos,+San+Juan/Catamarca+Sur+664,+San+Juan/@-30.8324626,-69.5228774,318363m/data=!3m2!1e3!4b1!4m20!4m19!1m5!1m1!1s0x9681402690dd76eb:0x4b283f8fe10ce3f3!2m2!1d-68.5293761!2d-31.5426363!1m5!1m1!1s0x96828d7bd799257b:0xa02537f0bfd98b8e!2m2!1d-67.6939678!2d-30.2215826!1m5!1m1!1s0x9681402690dd76eb:0x4b283f8fe10ce3f3!2m2!1d-68.5293761!2d-31.5426363!3e0?entry=ttu&amp;g_ep=EgoyMDI1MDgxMy4wIKXMDSoASAFQAw%3D%3D</v>
      </c>
      <c r="M54" s="21" t="str">
        <f t="shared" si="3"/>
        <v>https://webagentes.canaldirecto.com.ar/incidents/view/826141-2</v>
      </c>
      <c r="N54" s="21" t="str">
        <f t="shared" si="4"/>
        <v>https://webagentes.canaldirecto.com.ar/incidents/view/826141-2</v>
      </c>
      <c r="O54" s="21"/>
      <c r="P54" s="22"/>
    </row>
    <row r="55" spans="1:16" s="23" customFormat="1" ht="21" customHeight="1" thickBot="1" x14ac:dyDescent="0.25">
      <c r="A55" s="16">
        <v>2</v>
      </c>
      <c r="B55" s="17" t="s">
        <v>172</v>
      </c>
      <c r="C55" s="18" t="s">
        <v>19</v>
      </c>
      <c r="D55" s="18" t="s">
        <v>36</v>
      </c>
      <c r="E55" s="18" t="s">
        <v>27</v>
      </c>
      <c r="F55" s="18" t="s">
        <v>173</v>
      </c>
      <c r="G55" s="18" t="s">
        <v>174</v>
      </c>
      <c r="H55" s="35">
        <v>20260409</v>
      </c>
      <c r="I55" s="15" t="e">
        <f t="shared" si="5"/>
        <v>#N/A</v>
      </c>
      <c r="J55" s="15" t="e">
        <f t="shared" si="6"/>
        <v>#N/A</v>
      </c>
      <c r="K55" s="15"/>
      <c r="L55" s="20" t="e">
        <f t="shared" si="7"/>
        <v>#N/A</v>
      </c>
      <c r="M55" s="21" t="str">
        <f t="shared" si="3"/>
        <v>https://webagentes.canaldirecto.com.ar/incidents/view/829557-0</v>
      </c>
      <c r="N55" s="21" t="str">
        <f t="shared" si="4"/>
        <v>https://webagentes.canaldirecto.com.ar/incidents/view/829557-0</v>
      </c>
      <c r="O55" s="21"/>
      <c r="P55" s="22"/>
    </row>
    <row r="56" spans="1:16" s="23" customFormat="1" ht="21" customHeight="1" thickBot="1" x14ac:dyDescent="0.25">
      <c r="A56" s="16">
        <v>2</v>
      </c>
      <c r="B56" s="17" t="s">
        <v>175</v>
      </c>
      <c r="C56" s="18" t="s">
        <v>19</v>
      </c>
      <c r="D56" s="18" t="s">
        <v>36</v>
      </c>
      <c r="E56" s="18" t="s">
        <v>27</v>
      </c>
      <c r="F56" s="18" t="s">
        <v>173</v>
      </c>
      <c r="G56" s="18" t="s">
        <v>176</v>
      </c>
      <c r="H56" s="35">
        <v>20260409</v>
      </c>
      <c r="I56" s="15" t="str">
        <f t="shared" si="5"/>
        <v>Capital</v>
      </c>
      <c r="J56" s="15">
        <f t="shared" si="6"/>
        <v>4</v>
      </c>
      <c r="K56" s="15"/>
      <c r="L56" s="20" t="str">
        <f t="shared" si="7"/>
        <v>https://www.google.com/maps/dir/Catamarca+Sur+664,+San+Juan/Escuela+Normal+Superior+San+Mart%C3%ADn,+Estados+Unidos+Sur+500,+J5402EZN+San+Juan/@-31.5418377,-68.5308722,2469m/data=!3m2!1e3!4b1!4m14!4m13!1m5!1m1!1s0x9681402690dd76eb:0x4b283f8fe10ce3f3!2m2!1d-68.5293761!2d-31.5426363!1m5!1m1!1s0x96816a90b6401ee5:0x18134fdfa216264f!2m2!1d-68.5114442!2d-31.5405494!3e0?entry=ttu&amp;g_ep=EgoyMDI1MDYxNy4wIKXMDSoASAFQAw%3D%3D</v>
      </c>
      <c r="M56" s="21" t="str">
        <f t="shared" si="3"/>
        <v>https://webagentes.canaldirecto.com.ar/incidents/view/829556-1</v>
      </c>
      <c r="N56" s="21" t="str">
        <f t="shared" si="4"/>
        <v>https://webagentes.canaldirecto.com.ar/incidents/view/829556-1</v>
      </c>
      <c r="O56" s="21"/>
      <c r="P56" s="22"/>
    </row>
    <row r="57" spans="1:16" s="23" customFormat="1" ht="21" customHeight="1" thickBot="1" x14ac:dyDescent="0.25">
      <c r="A57" s="16">
        <v>2</v>
      </c>
      <c r="B57" s="17" t="s">
        <v>177</v>
      </c>
      <c r="C57" s="18" t="s">
        <v>19</v>
      </c>
      <c r="D57" s="18" t="s">
        <v>36</v>
      </c>
      <c r="E57" s="18" t="s">
        <v>27</v>
      </c>
      <c r="F57" s="18" t="s">
        <v>173</v>
      </c>
      <c r="G57" s="18" t="s">
        <v>178</v>
      </c>
      <c r="H57" s="35">
        <v>20260409</v>
      </c>
      <c r="I57" s="15" t="e">
        <f t="shared" si="5"/>
        <v>#N/A</v>
      </c>
      <c r="J57" s="15" t="e">
        <f t="shared" si="6"/>
        <v>#N/A</v>
      </c>
      <c r="K57" s="15"/>
      <c r="L57" s="20" t="e">
        <f t="shared" si="7"/>
        <v>#N/A</v>
      </c>
      <c r="M57" s="21" t="str">
        <f t="shared" si="3"/>
        <v>https://webagentes.canaldirecto.com.ar/incidents/view/829555-2</v>
      </c>
      <c r="N57" s="21" t="str">
        <f t="shared" si="4"/>
        <v>https://webagentes.canaldirecto.com.ar/incidents/view/829555-2</v>
      </c>
      <c r="O57" s="21"/>
      <c r="P57" s="22"/>
    </row>
    <row r="58" spans="1:16" s="23" customFormat="1" ht="21" customHeight="1" thickBot="1" x14ac:dyDescent="0.25">
      <c r="A58" s="16">
        <v>2</v>
      </c>
      <c r="B58" s="17" t="s">
        <v>179</v>
      </c>
      <c r="C58" s="18" t="s">
        <v>19</v>
      </c>
      <c r="D58" s="18" t="s">
        <v>36</v>
      </c>
      <c r="E58" s="18" t="s">
        <v>27</v>
      </c>
      <c r="F58" s="18" t="s">
        <v>180</v>
      </c>
      <c r="G58" s="18" t="s">
        <v>181</v>
      </c>
      <c r="H58" s="35">
        <v>20260409</v>
      </c>
      <c r="I58" s="15" t="str">
        <f t="shared" si="5"/>
        <v>CAPITAL</v>
      </c>
      <c r="J58" s="15">
        <f t="shared" si="6"/>
        <v>5.0999999999999996</v>
      </c>
      <c r="K58" s="15"/>
      <c r="L58" s="20" t="str">
        <f t="shared" si="7"/>
        <v>google.com/maps/dir/Catamarca+Sur,+San+Juan/Escuela+Bernardino+Rivadavia,+J5400AMN,+San+Luis+602-700,+J5400AMN+San+Juan/Catamarca+Sur,+San+Juan/@-31.5369338,-68.5323053,2469m/data=!3m1!1e3!4m20!4m19!1m5!1m1!1s0x968140269756b7e1:0x3c38eb6d66eb45d!2m2!1d-68.5295918!2d-31.5427459!1m5!1m1!1s0x96816a843eab8c83:0x33e8e32fbc8d532d!2m2!1d-68.5169143!2d-31.5321226!1m5!1m1!1s0x968140269756b7e1:0x3c38eb6d66eb45d!2m2!1d-68.5295918!2d-31.5427459!3e0?hl=es&amp;entry=ttu&amp;g_ep=EgoyMDI1MTAwOC4wIKXMDSoASAFQAw%3D%3D</v>
      </c>
      <c r="M58" s="21" t="str">
        <f t="shared" si="3"/>
        <v>https://webagentes.canaldirecto.com.ar/incidents/view/829553-4</v>
      </c>
      <c r="N58" s="21" t="str">
        <f t="shared" si="4"/>
        <v>https://webagentes.canaldirecto.com.ar/incidents/view/829553-4</v>
      </c>
      <c r="O58" s="21"/>
      <c r="P58" s="22"/>
    </row>
    <row r="59" spans="1:16" s="23" customFormat="1" ht="21" customHeight="1" thickBot="1" x14ac:dyDescent="0.25">
      <c r="A59" s="16">
        <v>2</v>
      </c>
      <c r="B59" s="17" t="s">
        <v>182</v>
      </c>
      <c r="C59" s="18" t="s">
        <v>19</v>
      </c>
      <c r="D59" s="18" t="s">
        <v>36</v>
      </c>
      <c r="E59" s="18" t="s">
        <v>27</v>
      </c>
      <c r="F59" s="18" t="s">
        <v>183</v>
      </c>
      <c r="G59" s="18" t="s">
        <v>184</v>
      </c>
      <c r="H59" s="35">
        <v>20260409</v>
      </c>
      <c r="I59" s="15" t="str">
        <f t="shared" si="5"/>
        <v>Capital</v>
      </c>
      <c r="J59" s="15">
        <f t="shared" si="6"/>
        <v>5.7</v>
      </c>
      <c r="K59" s="15"/>
      <c r="L59" s="20" t="str">
        <f t="shared" si="7"/>
        <v>https://www.google.com/maps/dir/Catamarca+Sur+664,+San+Juan/Escuela+Clara+Rosa+Cortinez,+Francisco+N.+Laprida+Oeste+1599,+J5400ENH+San+Juan/Catamarca+Sur+664,+San+Juan/@-31.5396387,-68.5499241,2469m/data=!3m2!1e3!4b1!4m20!4m19!1m5!1m1!1s0x9681402690dd76eb:0x4b283f8fe10ce3f3!2m2!1d-68.5293623!2d-31.542635!1m5!1m1!1s0x9681404a7a997f27:0xff916058ad94d827!2m2!1d-68.5495238!2d-31.534646!1m5!1m1!1s0x9681402690dd76eb:0x4b283f8fe10ce3f3!2m2!1d-68.5293623!2d-31.542635!3e0?hl=es&amp;entry=ttu&amp;g_ep=EgoyMDI1MDgxOS4wIKXMDSoASAFQAw%3D%3D</v>
      </c>
      <c r="M59" s="21" t="str">
        <f t="shared" si="3"/>
        <v>https://webagentes.canaldirecto.com.ar/incidents/view/829552-5</v>
      </c>
      <c r="N59" s="21" t="str">
        <f t="shared" si="4"/>
        <v>https://webagentes.canaldirecto.com.ar/incidents/view/829552-5</v>
      </c>
      <c r="O59" s="21"/>
      <c r="P59" s="22"/>
    </row>
    <row r="60" spans="1:16" s="23" customFormat="1" ht="21" customHeight="1" thickBot="1" x14ac:dyDescent="0.25">
      <c r="A60" s="16">
        <v>2</v>
      </c>
      <c r="B60" s="17" t="s">
        <v>185</v>
      </c>
      <c r="C60" s="18" t="s">
        <v>19</v>
      </c>
      <c r="D60" s="18" t="s">
        <v>36</v>
      </c>
      <c r="E60" s="18" t="s">
        <v>27</v>
      </c>
      <c r="F60" s="18" t="s">
        <v>186</v>
      </c>
      <c r="G60" s="18" t="s">
        <v>187</v>
      </c>
      <c r="H60" s="35">
        <v>20260409</v>
      </c>
      <c r="I60" s="15" t="str">
        <f t="shared" si="5"/>
        <v>Capital</v>
      </c>
      <c r="J60" s="15">
        <f t="shared" si="6"/>
        <v>0</v>
      </c>
      <c r="K60" s="15"/>
      <c r="L60" s="20">
        <f t="shared" si="7"/>
        <v>0</v>
      </c>
      <c r="M60" s="21" t="str">
        <f t="shared" si="3"/>
        <v>https://webagentes.canaldirecto.com.ar/incidents/view/829550-7</v>
      </c>
      <c r="N60" s="21" t="str">
        <f t="shared" si="4"/>
        <v>https://webagentes.canaldirecto.com.ar/incidents/view/829550-7</v>
      </c>
      <c r="O60" s="21"/>
      <c r="P60" s="22"/>
    </row>
    <row r="61" spans="1:16" s="23" customFormat="1" ht="21" customHeight="1" thickBot="1" x14ac:dyDescent="0.25">
      <c r="A61" s="16">
        <v>2</v>
      </c>
      <c r="B61" s="17" t="s">
        <v>188</v>
      </c>
      <c r="C61" s="18" t="s">
        <v>19</v>
      </c>
      <c r="D61" s="18" t="s">
        <v>36</v>
      </c>
      <c r="E61" s="18" t="s">
        <v>27</v>
      </c>
      <c r="F61" s="18" t="s">
        <v>173</v>
      </c>
      <c r="G61" s="18" t="s">
        <v>189</v>
      </c>
      <c r="H61" s="35">
        <v>20260409</v>
      </c>
      <c r="I61" s="15" t="str">
        <f t="shared" si="5"/>
        <v>Capital</v>
      </c>
      <c r="J61" s="15">
        <f t="shared" si="6"/>
        <v>4</v>
      </c>
      <c r="K61" s="15"/>
      <c r="L61" s="20" t="str">
        <f t="shared" si="7"/>
        <v>https://www.google.com/maps/dir/Catamarca+Sur+664,+San+Juan/Escuela+Normal+Superior+San+Mart%C3%ADn,+Estados+Unidos+Sur+500,+J5402EZN+San+Juan/@-31.5418377,-68.5308722,2469m/data=!3m2!1e3!4b1!4m14!4m13!1m5!1m1!1s0x9681402690dd76eb:0x4b283f8fe10ce3f3!2m2!1d-68.5293761!2d-31.5426363!1m5!1m1!1s0x96816a90b6401ee5:0x18134fdfa216264f!2m2!1d-68.5114442!2d-31.5405494!3e0?entry=ttu&amp;g_ep=EgoyMDI1MDYxNy4wIKXMDSoASAFQAw%3D%3D</v>
      </c>
      <c r="M61" s="21" t="str">
        <f t="shared" si="3"/>
        <v>https://webagentes.canaldirecto.com.ar/incidents/view/829549-1</v>
      </c>
      <c r="N61" s="21" t="str">
        <f t="shared" si="4"/>
        <v>https://webagentes.canaldirecto.com.ar/incidents/view/829549-1</v>
      </c>
      <c r="O61" s="21"/>
      <c r="P61" s="22"/>
    </row>
    <row r="62" spans="1:16" s="23" customFormat="1" ht="21" customHeight="1" thickBot="1" x14ac:dyDescent="0.25">
      <c r="A62" s="28">
        <v>1</v>
      </c>
      <c r="B62" s="29" t="s">
        <v>190</v>
      </c>
      <c r="C62" s="18" t="s">
        <v>19</v>
      </c>
      <c r="D62" s="18" t="s">
        <v>36</v>
      </c>
      <c r="E62" s="18" t="s">
        <v>27</v>
      </c>
      <c r="F62" s="18" t="s">
        <v>191</v>
      </c>
      <c r="G62" s="18" t="s">
        <v>192</v>
      </c>
      <c r="H62" s="35">
        <v>20260409</v>
      </c>
      <c r="I62" s="15" t="str">
        <f t="shared" si="5"/>
        <v>Capital</v>
      </c>
      <c r="J62" s="15">
        <f t="shared" si="6"/>
        <v>11.8</v>
      </c>
      <c r="K62" s="15"/>
      <c r="L62" s="20" t="str">
        <f t="shared" si="7"/>
        <v>https://www.google.com/maps/dir/Catamarca+Sur+664,+San+Juan/-31.5267734,-68.5653156/Catamarca+Sur+664,+San+Juan/@-31.540926,-68.5683393,4937m/data=!3m2!1e3!4b1!4m15!4m14!1m5!1m1!1s0x9681402690dd76eb:0x4b283f8fe10ce3f3!2m2!1d-68.5293761!2d-31.5426363!1m0!1m5!1m1!1s0x9681402690dd76eb:0x4b283f8fe10ce3f3!2m2!1d-68.5293761!2d-31.5426363!3e0?hl=es&amp;entry=ttu&amp;g_ep=EgoyMDI1MDgxMy4wIKXMDSoASAFQAw%3D%3D</v>
      </c>
      <c r="M62" s="21" t="str">
        <f t="shared" si="3"/>
        <v>https://webagentes.canaldirecto.com.ar/incidents/view/829548-2</v>
      </c>
      <c r="N62" s="21" t="str">
        <f t="shared" si="4"/>
        <v>https://webagentes.canaldirecto.com.ar/incidents/view/829548-2</v>
      </c>
      <c r="O62" s="21"/>
      <c r="P62" s="22"/>
    </row>
    <row r="63" spans="1:16" s="23" customFormat="1" ht="21" customHeight="1" thickBot="1" x14ac:dyDescent="0.25">
      <c r="A63" s="28">
        <v>1</v>
      </c>
      <c r="B63" s="29" t="s">
        <v>193</v>
      </c>
      <c r="C63" s="18" t="s">
        <v>19</v>
      </c>
      <c r="D63" s="18" t="s">
        <v>20</v>
      </c>
      <c r="E63" s="18" t="s">
        <v>27</v>
      </c>
      <c r="F63" s="18" t="s">
        <v>194</v>
      </c>
      <c r="G63" s="18" t="s">
        <v>195</v>
      </c>
      <c r="H63" s="35">
        <v>20260409</v>
      </c>
      <c r="I63" s="15" t="str">
        <f t="shared" si="5"/>
        <v>Chimbas</v>
      </c>
      <c r="J63" s="15">
        <f t="shared" si="6"/>
        <v>16.7</v>
      </c>
      <c r="K63" s="15"/>
      <c r="L63" s="20" t="str">
        <f t="shared" si="7"/>
        <v>https://www.google.com/maps/dir/Catamarca+Sur+664,+San+Juan/Escuela+Welfried+Salinas,+Necochea+1108,+J5413+Chimbas,+San+Juan/Catamarca+Sur+664,+San+Juan/@-31.527894,-68.5606267,9876m/data=!3m2!1e3!4b1!4m20!4m19!1m5!1m1!1s0x9681402690dd76eb:0x4b283f8fe10ce3f3!2m2!1d-68.5293761!2d-31.5426363!1m5!1m1!1s0x96816a1315ce0853:0x86d251b84c471cb9!2m2!1d-68.5086433!2d-31.5009423!1m5!1m1!1s0x9681402690dd76eb:0x4b283f8fe10ce3f3!2m2!1d-68.5293761!2d-31.5426363!3e0?entry=ttu&amp;g_ep=EgoyMDI1MDgxMy4wIKXMDSoASAFQAw%3D%3D</v>
      </c>
      <c r="M63" s="21" t="str">
        <f t="shared" si="3"/>
        <v>https://webagentes.canaldirecto.com.ar/incidents/view/829364-2</v>
      </c>
      <c r="N63" s="21" t="str">
        <f t="shared" si="4"/>
        <v>https://webagentes.canaldirecto.com.ar/incidents/view/829364-2</v>
      </c>
      <c r="O63" s="21"/>
      <c r="P63" s="22"/>
    </row>
    <row r="64" spans="1:16" s="23" customFormat="1" ht="21" customHeight="1" thickBot="1" x14ac:dyDescent="0.25">
      <c r="A64" s="28">
        <v>1</v>
      </c>
      <c r="B64" s="29" t="s">
        <v>196</v>
      </c>
      <c r="C64" s="18" t="s">
        <v>19</v>
      </c>
      <c r="D64" s="18" t="s">
        <v>20</v>
      </c>
      <c r="E64" s="18" t="s">
        <v>27</v>
      </c>
      <c r="F64" s="18" t="s">
        <v>197</v>
      </c>
      <c r="G64" s="18" t="s">
        <v>198</v>
      </c>
      <c r="H64" s="35">
        <v>20260409</v>
      </c>
      <c r="I64" s="15" t="str">
        <f t="shared" si="5"/>
        <v>Albardón</v>
      </c>
      <c r="J64" s="15">
        <f t="shared" si="6"/>
        <v>36.299999999999997</v>
      </c>
      <c r="K64" s="15">
        <v>36.299999999999997</v>
      </c>
      <c r="L64" s="20" t="str">
        <f t="shared" si="7"/>
        <v>https://www.google.com/maps/dir/Catamarca+Sur+664,+San+Juan/Colegio+Gral.+Don+Toribio+de+Luzuriaga,+Nacional,+J5419+Villa+Gral.+San+Martin,+San+Juan/Catamarca+Sur+664,+San+Juan/@-31.4913565,-68.6012244,19760m/data=!3m2!1e3!4b1!4m20!4m19!1m5!1m1!1s0x9681402690dd76eb:0x4b283f8fe10ce3f3!2m2!1d-68.5293761!2d-31.5426363!1m5!1m1!1s0x9681683633706625:0x1ec70dfe06f0b20e!2m2!1d-68.5019143!2d-31.4280533!1m5!1m1!1s0x9681402690dd76eb:0x4b283f8fe10ce3f3!2m2!1d-68.5293761!2d-31.5426363!3e0?hl=es&amp;entry=ttu&amp;g_ep=EgoyMDI1MDgxMy4wIKXMDSoASAFQAw%3D%3D</v>
      </c>
      <c r="M64" s="21" t="str">
        <f t="shared" si="3"/>
        <v>https://webagentes.canaldirecto.com.ar/incidents/view/829290-8</v>
      </c>
      <c r="N64" s="21" t="str">
        <f t="shared" si="4"/>
        <v>https://webagentes.canaldirecto.com.ar/incidents/view/829290-8</v>
      </c>
      <c r="O64" s="21"/>
      <c r="P64" s="22"/>
    </row>
    <row r="65" spans="1:16" s="23" customFormat="1" ht="21" customHeight="1" thickBot="1" x14ac:dyDescent="0.25">
      <c r="A65" s="28">
        <v>1</v>
      </c>
      <c r="B65" s="29" t="s">
        <v>199</v>
      </c>
      <c r="C65" s="18" t="s">
        <v>19</v>
      </c>
      <c r="D65" s="18" t="s">
        <v>20</v>
      </c>
      <c r="E65" s="18" t="s">
        <v>27</v>
      </c>
      <c r="F65" s="18" t="s">
        <v>191</v>
      </c>
      <c r="G65" s="18" t="s">
        <v>200</v>
      </c>
      <c r="H65" s="35">
        <v>20260409</v>
      </c>
      <c r="I65" s="15" t="str">
        <f t="shared" si="5"/>
        <v>Capital</v>
      </c>
      <c r="J65" s="15">
        <f t="shared" si="6"/>
        <v>11.8</v>
      </c>
      <c r="K65" s="15"/>
      <c r="L65" s="20" t="str">
        <f t="shared" si="7"/>
        <v>https://www.google.com/maps/dir/Catamarca+Sur+664,+San+Juan/-31.5267734,-68.5653156/Catamarca+Sur+664,+San+Juan/@-31.540926,-68.5683393,4937m/data=!3m2!1e3!4b1!4m15!4m14!1m5!1m1!1s0x9681402690dd76eb:0x4b283f8fe10ce3f3!2m2!1d-68.5293761!2d-31.5426363!1m0!1m5!1m1!1s0x9681402690dd76eb:0x4b283f8fe10ce3f3!2m2!1d-68.5293761!2d-31.5426363!3e0?hl=es&amp;entry=ttu&amp;g_ep=EgoyMDI1MDgxMy4wIKXMDSoASAFQAw%3D%3D</v>
      </c>
      <c r="M65" s="21" t="str">
        <f t="shared" si="3"/>
        <v>https://webagentes.canaldirecto.com.ar/incidents/view/829267-0</v>
      </c>
      <c r="N65" s="21" t="str">
        <f t="shared" si="4"/>
        <v>https://webagentes.canaldirecto.com.ar/incidents/view/829267-0</v>
      </c>
      <c r="O65" s="21"/>
      <c r="P65" s="22"/>
    </row>
    <row r="66" spans="1:16" s="23" customFormat="1" ht="21" customHeight="1" thickBot="1" x14ac:dyDescent="0.25">
      <c r="A66" s="24">
        <v>3</v>
      </c>
      <c r="B66" s="25" t="s">
        <v>201</v>
      </c>
      <c r="C66" s="18" t="s">
        <v>19</v>
      </c>
      <c r="D66" s="18" t="s">
        <v>20</v>
      </c>
      <c r="E66" s="18" t="s">
        <v>27</v>
      </c>
      <c r="F66" s="18" t="s">
        <v>202</v>
      </c>
      <c r="G66" s="18" t="s">
        <v>203</v>
      </c>
      <c r="H66" s="35">
        <v>20260409</v>
      </c>
      <c r="I66" s="15" t="str">
        <f t="shared" si="5"/>
        <v>Chimbas</v>
      </c>
      <c r="J66" s="15">
        <f t="shared" si="6"/>
        <v>24.7</v>
      </c>
      <c r="K66" s="15">
        <v>24.7</v>
      </c>
      <c r="L66" s="20" t="str">
        <f t="shared" si="7"/>
        <v>https://www.google.com/maps/dir/Catamarca+Sur+664,+San+Juan/Escuela+Blas+Parera,+C.+Malvinas,+J5413+Chimbas,+San+Juan/Catamarca+Sur+664,+San+Juan/@-31.5323663,-68.6149965,9876m/data=!3m2!1e3!4b1!4m20!4m19!1m5!1m1!1s0x9681402690dd76eb:0x4b283f8fe10ce3f3!2m2!1d-68.5293761!2d-31.5426363!1m5!1m1!1s0x968141e75e3ce4bf:0xba0300c0cfe5ebcb!2m2!1d-68.6182172!2d-31.5096383!1m5!1m1!1s0x9681402690dd76eb:0x4b283f8fe10ce3f3!2m2!1d-68.5293761!2d-31.5426363!3e0?entry=ttu&amp;g_ep=EgoyMDI1MDgxMy4wIKXMDSoASAFQAw%3D%3D</v>
      </c>
      <c r="M66" s="21" t="str">
        <f t="shared" si="3"/>
        <v>https://webagentes.canaldirecto.com.ar/incidents/view/829211-1</v>
      </c>
      <c r="N66" s="21" t="str">
        <f t="shared" si="4"/>
        <v>https://webagentes.canaldirecto.com.ar/incidents/view/829211-1</v>
      </c>
      <c r="O66" s="21"/>
      <c r="P66" s="22"/>
    </row>
    <row r="67" spans="1:16" s="23" customFormat="1" ht="21" customHeight="1" thickBot="1" x14ac:dyDescent="0.25">
      <c r="A67" s="24">
        <v>3</v>
      </c>
      <c r="B67" s="25" t="s">
        <v>204</v>
      </c>
      <c r="C67" s="18" t="s">
        <v>19</v>
      </c>
      <c r="D67" s="18" t="s">
        <v>20</v>
      </c>
      <c r="E67" s="18" t="s">
        <v>27</v>
      </c>
      <c r="F67" s="18" t="s">
        <v>205</v>
      </c>
      <c r="G67" s="18" t="s">
        <v>206</v>
      </c>
      <c r="H67" s="35">
        <v>20260409</v>
      </c>
      <c r="I67" s="15" t="e">
        <f t="shared" si="5"/>
        <v>#N/A</v>
      </c>
      <c r="J67" s="15" t="e">
        <f t="shared" si="6"/>
        <v>#N/A</v>
      </c>
      <c r="K67" s="15"/>
      <c r="L67" s="20" t="e">
        <f t="shared" si="7"/>
        <v>#N/A</v>
      </c>
      <c r="M67" s="21" t="str">
        <f t="shared" ref="M67:M130" si="8">HYPERLINK(N67)</f>
        <v>https://webagentes.canaldirecto.com.ar/incidents/view/829188-4</v>
      </c>
      <c r="N67" s="21" t="str">
        <f t="shared" ref="N67:N130" si="9">CONCATENATE("https://webagentes.canaldirecto.com.ar/incidents/view/",B67)</f>
        <v>https://webagentes.canaldirecto.com.ar/incidents/view/829188-4</v>
      </c>
      <c r="O67" s="21"/>
      <c r="P67" s="22"/>
    </row>
    <row r="68" spans="1:16" s="23" customFormat="1" ht="21" customHeight="1" thickBot="1" x14ac:dyDescent="0.25">
      <c r="A68" s="28">
        <v>1</v>
      </c>
      <c r="B68" s="29" t="s">
        <v>207</v>
      </c>
      <c r="C68" s="18" t="s">
        <v>19</v>
      </c>
      <c r="D68" s="18" t="s">
        <v>20</v>
      </c>
      <c r="E68" s="18" t="s">
        <v>27</v>
      </c>
      <c r="F68" s="18" t="s">
        <v>208</v>
      </c>
      <c r="G68" s="18" t="s">
        <v>209</v>
      </c>
      <c r="H68" s="35">
        <v>20260409</v>
      </c>
      <c r="I68" s="15" t="str">
        <f t="shared" ref="I68:I131" si="10">VLOOKUP(G68,DIOS,2,FALSE)</f>
        <v>Rawson</v>
      </c>
      <c r="J68" s="15">
        <f t="shared" ref="J68:J131" si="11">VLOOKUP(G68,DIOS,5,FALSE)</f>
        <v>10.6</v>
      </c>
      <c r="K68" s="15"/>
      <c r="L68" s="20" t="str">
        <f t="shared" ref="L68:L131" si="12">VLOOKUP(G68,DIOS,4,FALSE)</f>
        <v>https://www.google.com/maps/dir/Catamarca+Sur+664,+San+Juan/Colegio+Antonio+de+la+Torre,+Blvd.+Sarmiento+Oeste+1029,+J5425+Villa+Krause,+San+Juan/Catamarca+Sur+664,+San+Juan/@-31.5602868,-68.5583604,4936m/data=!3m1!1e3!4m20!4m19!1m5!1m1!1s0x9681402690dd76eb:0x4b283f8fe10ce3f3!2m2!1d-68.5293761!2d-31.5426363!1m5!1m1!1s0x96813f8b664fdf6b:0x5bc4a362718254ea!2m2!1d-68.5504471!2d-31.5797098!1m5!1m1!1s0x9681402690dd76eb:0x4b283f8fe10ce3f3!2m2!1d-68.5293761!2d-31.5426363!3e0?entry=ttu&amp;g_ep=EgoyMDI1MDgxMy4wIKXMDSoASAFQAw%3D%3D</v>
      </c>
      <c r="M68" s="21" t="str">
        <f t="shared" si="8"/>
        <v>https://webagentes.canaldirecto.com.ar/incidents/view/829020-1</v>
      </c>
      <c r="N68" s="21" t="str">
        <f t="shared" si="9"/>
        <v>https://webagentes.canaldirecto.com.ar/incidents/view/829020-1</v>
      </c>
      <c r="O68" s="21"/>
      <c r="P68" s="22"/>
    </row>
    <row r="69" spans="1:16" s="23" customFormat="1" ht="21" customHeight="1" thickBot="1" x14ac:dyDescent="0.25">
      <c r="A69" s="24">
        <v>3</v>
      </c>
      <c r="B69" s="25" t="s">
        <v>210</v>
      </c>
      <c r="C69" s="18" t="s">
        <v>19</v>
      </c>
      <c r="D69" s="18" t="s">
        <v>20</v>
      </c>
      <c r="E69" s="18" t="s">
        <v>27</v>
      </c>
      <c r="F69" s="18" t="s">
        <v>211</v>
      </c>
      <c r="G69" s="18" t="s">
        <v>212</v>
      </c>
      <c r="H69" s="35">
        <v>20260409</v>
      </c>
      <c r="I69" s="15" t="str">
        <f t="shared" si="10"/>
        <v>Capital</v>
      </c>
      <c r="J69" s="15">
        <f t="shared" si="11"/>
        <v>6.3</v>
      </c>
      <c r="K69" s="15"/>
      <c r="L69" s="20" t="str">
        <f t="shared" si="12"/>
        <v>https://www.google.com/maps/dir/Catamarca+Sur+664,+San+Juan/ETOA+(Escuela+T%C3%A9cnica+Obrero+Argentino),+Av.+Paula+Albarrac%C3%ADn+de+Sarmiento+201-243,+J5402+San+Juan/Catamarca+Sur+664,+San+Juan/@-31.5402798,-68.5513415,2469m/data=!3m2!1e3!4b1!4m20!4m19!1m5!1m1!1s0x9681402690dd76eb:0x4b283f8fe10ce3f3!2m2!1d-68.5293623!2d-31.542635!1m5!1m1!1s0x968140497cf9b279:0x8c2bbd02279e0dcb!2m2!1d-68.5527108!2d-31.5355433!1m5!1m1!1s0x9681402690dd76eb:0x4b283f8fe10ce3f3!2m2!1d-68.5293623!2d-31.542635!3e0?hl=es&amp;entry=ttu&amp;g_ep=EgoyMDI1MDgxOS4wIKXMDSoASAFQAw%3D%3D</v>
      </c>
      <c r="M69" s="21" t="str">
        <f t="shared" si="8"/>
        <v>https://webagentes.canaldirecto.com.ar/incidents/view/828955-1</v>
      </c>
      <c r="N69" s="21" t="str">
        <f t="shared" si="9"/>
        <v>https://webagentes.canaldirecto.com.ar/incidents/view/828955-1</v>
      </c>
      <c r="O69" s="21"/>
      <c r="P69" s="22"/>
    </row>
    <row r="70" spans="1:16" s="23" customFormat="1" ht="21" customHeight="1" thickBot="1" x14ac:dyDescent="0.25">
      <c r="A70" s="16">
        <v>2</v>
      </c>
      <c r="B70" s="17" t="s">
        <v>213</v>
      </c>
      <c r="C70" s="18" t="s">
        <v>19</v>
      </c>
      <c r="D70" s="18" t="s">
        <v>36</v>
      </c>
      <c r="E70" s="18" t="s">
        <v>27</v>
      </c>
      <c r="F70" s="18" t="s">
        <v>214</v>
      </c>
      <c r="G70" s="18" t="s">
        <v>215</v>
      </c>
      <c r="H70" s="19">
        <v>20260410</v>
      </c>
      <c r="I70" s="15" t="e">
        <f t="shared" si="10"/>
        <v>#N/A</v>
      </c>
      <c r="J70" s="15" t="e">
        <f t="shared" si="11"/>
        <v>#N/A</v>
      </c>
      <c r="K70" s="15"/>
      <c r="L70" s="20" t="e">
        <f t="shared" si="12"/>
        <v>#N/A</v>
      </c>
      <c r="M70" s="21" t="str">
        <f t="shared" si="8"/>
        <v>https://webagentes.canaldirecto.com.ar/incidents/view/829633-9</v>
      </c>
      <c r="N70" s="21" t="str">
        <f t="shared" si="9"/>
        <v>https://webagentes.canaldirecto.com.ar/incidents/view/829633-9</v>
      </c>
      <c r="O70" s="21"/>
      <c r="P70" s="22"/>
    </row>
    <row r="71" spans="1:16" s="23" customFormat="1" ht="21" customHeight="1" thickBot="1" x14ac:dyDescent="0.25">
      <c r="A71" s="16">
        <v>2</v>
      </c>
      <c r="B71" s="17" t="s">
        <v>216</v>
      </c>
      <c r="C71" s="18" t="s">
        <v>19</v>
      </c>
      <c r="D71" s="18" t="s">
        <v>36</v>
      </c>
      <c r="E71" s="18" t="s">
        <v>27</v>
      </c>
      <c r="F71" s="18" t="s">
        <v>217</v>
      </c>
      <c r="G71" s="18" t="s">
        <v>218</v>
      </c>
      <c r="H71" s="19">
        <v>20260410</v>
      </c>
      <c r="I71" s="15" t="str">
        <f t="shared" si="10"/>
        <v>CAPITAL</v>
      </c>
      <c r="J71" s="15">
        <f t="shared" si="11"/>
        <v>3.2</v>
      </c>
      <c r="K71" s="15"/>
      <c r="L71" s="20" t="str">
        <f t="shared" si="12"/>
        <v>https://www.google.com/maps/dir/Catamarca+Sur+664,+J5402GSN+San+Juan/C.E.N.T+18,+J5402AJS,+Gral.+Jos%C3%A9+Mar%C3%ADa+Paz+Oeste+993-999,+J5402AJS+San+Juan/Catamarca+Sur+664,+J5402GSN+San+Juan/@-31.5418187,-68.5399786,1234m/data=!3m2!1e3!4b1!4m20!4m19!1m5!1m1!1s0x9681402690dd76eb:0x4b283f8fe10ce3f3!2m2!1d-68.5293601!2d-31.5426523!1m5!1m1!1s0x9681403a47049a41:0x9e95e1d36c87439b!2m2!1d-68.54095!2d-31.5425925!1m5!1m1!1s0x9681402690dd76eb:0x4b283f8fe10ce3f3!2m2!1d-68.5293601!2d-31.5426523!3e0?hl=es&amp;entry=ttu&amp;g_ep=EgoyMDI2MDMzMC4wIKXMDSoASAFQAw%3D%3D</v>
      </c>
      <c r="M71" s="21" t="str">
        <f t="shared" si="8"/>
        <v>https://webagentes.canaldirecto.com.ar/incidents/view/829632-0</v>
      </c>
      <c r="N71" s="21" t="str">
        <f t="shared" si="9"/>
        <v>https://webagentes.canaldirecto.com.ar/incidents/view/829632-0</v>
      </c>
      <c r="O71" s="21"/>
      <c r="P71" s="22"/>
    </row>
    <row r="72" spans="1:16" s="23" customFormat="1" ht="21" customHeight="1" thickBot="1" x14ac:dyDescent="0.25">
      <c r="A72" s="16">
        <v>2</v>
      </c>
      <c r="B72" s="17" t="s">
        <v>219</v>
      </c>
      <c r="C72" s="18" t="s">
        <v>19</v>
      </c>
      <c r="D72" s="18" t="s">
        <v>36</v>
      </c>
      <c r="E72" s="18" t="s">
        <v>27</v>
      </c>
      <c r="F72" s="18" t="s">
        <v>220</v>
      </c>
      <c r="G72" s="18" t="s">
        <v>221</v>
      </c>
      <c r="H72" s="19">
        <v>20260410</v>
      </c>
      <c r="I72" s="15" t="e">
        <f t="shared" si="10"/>
        <v>#N/A</v>
      </c>
      <c r="J72" s="15" t="e">
        <f t="shared" si="11"/>
        <v>#N/A</v>
      </c>
      <c r="K72" s="15"/>
      <c r="L72" s="20" t="e">
        <f t="shared" si="12"/>
        <v>#N/A</v>
      </c>
      <c r="M72" s="21" t="str">
        <f t="shared" si="8"/>
        <v>https://webagentes.canaldirecto.com.ar/incidents/view/829631-1</v>
      </c>
      <c r="N72" s="21" t="str">
        <f t="shared" si="9"/>
        <v>https://webagentes.canaldirecto.com.ar/incidents/view/829631-1</v>
      </c>
      <c r="O72" s="21"/>
      <c r="P72" s="22"/>
    </row>
    <row r="73" spans="1:16" s="23" customFormat="1" ht="21" customHeight="1" thickBot="1" x14ac:dyDescent="0.25">
      <c r="A73" s="16">
        <v>2</v>
      </c>
      <c r="B73" s="17" t="s">
        <v>222</v>
      </c>
      <c r="C73" s="18" t="s">
        <v>19</v>
      </c>
      <c r="D73" s="18" t="s">
        <v>36</v>
      </c>
      <c r="E73" s="18" t="s">
        <v>27</v>
      </c>
      <c r="F73" s="18" t="s">
        <v>223</v>
      </c>
      <c r="G73" s="18" t="s">
        <v>224</v>
      </c>
      <c r="H73" s="19">
        <v>20260410</v>
      </c>
      <c r="I73" s="15" t="e">
        <f t="shared" si="10"/>
        <v>#N/A</v>
      </c>
      <c r="J73" s="15" t="e">
        <f t="shared" si="11"/>
        <v>#N/A</v>
      </c>
      <c r="K73" s="15"/>
      <c r="L73" s="20" t="e">
        <f t="shared" si="12"/>
        <v>#N/A</v>
      </c>
      <c r="M73" s="21" t="str">
        <f t="shared" si="8"/>
        <v>https://webagentes.canaldirecto.com.ar/incidents/view/829630-2</v>
      </c>
      <c r="N73" s="21" t="str">
        <f t="shared" si="9"/>
        <v>https://webagentes.canaldirecto.com.ar/incidents/view/829630-2</v>
      </c>
      <c r="O73" s="21"/>
      <c r="P73" s="22"/>
    </row>
    <row r="74" spans="1:16" s="23" customFormat="1" ht="21" customHeight="1" thickBot="1" x14ac:dyDescent="0.25">
      <c r="A74" s="16">
        <v>2</v>
      </c>
      <c r="B74" s="17" t="s">
        <v>225</v>
      </c>
      <c r="C74" s="18" t="s">
        <v>19</v>
      </c>
      <c r="D74" s="18" t="s">
        <v>36</v>
      </c>
      <c r="E74" s="18" t="s">
        <v>27</v>
      </c>
      <c r="F74" s="18" t="s">
        <v>226</v>
      </c>
      <c r="G74" s="18" t="s">
        <v>227</v>
      </c>
      <c r="H74" s="19">
        <v>20260410</v>
      </c>
      <c r="I74" s="15" t="str">
        <f t="shared" si="10"/>
        <v>Capital</v>
      </c>
      <c r="J74" s="15">
        <f t="shared" si="11"/>
        <v>5</v>
      </c>
      <c r="K74" s="15"/>
      <c r="L74" s="20" t="str">
        <f t="shared" si="12"/>
        <v>https://www.google.com/maps/dir/Catamarca+Sur+664,+San+Juan/-31.5468504,-68.5125033/@-31.5447861,-68.5314017,2469m/data=!3m2!1e3!4b1!4m9!4m8!1m5!1m1!1s0x9681402690dd76eb:0x4b283f8fe10ce3f3!2m2!1d-68.5293761!2d-31.5426363!1m0!3e0?hl=es&amp;entry=ttu&amp;g_ep=EgoyMDI1MDYxNy4wIKXMDSoASAFQAw%3D%3D</v>
      </c>
      <c r="M74" s="21" t="str">
        <f t="shared" si="8"/>
        <v>https://webagentes.canaldirecto.com.ar/incidents/view/829629-6</v>
      </c>
      <c r="N74" s="21" t="str">
        <f t="shared" si="9"/>
        <v>https://webagentes.canaldirecto.com.ar/incidents/view/829629-6</v>
      </c>
      <c r="O74" s="21"/>
      <c r="P74" s="22"/>
    </row>
    <row r="75" spans="1:16" s="23" customFormat="1" ht="21" customHeight="1" thickBot="1" x14ac:dyDescent="0.25">
      <c r="A75" s="16">
        <v>2</v>
      </c>
      <c r="B75" s="17" t="s">
        <v>228</v>
      </c>
      <c r="C75" s="18" t="s">
        <v>19</v>
      </c>
      <c r="D75" s="18" t="s">
        <v>36</v>
      </c>
      <c r="E75" s="18" t="s">
        <v>27</v>
      </c>
      <c r="F75" s="18" t="s">
        <v>229</v>
      </c>
      <c r="G75" s="18" t="s">
        <v>230</v>
      </c>
      <c r="H75" s="19">
        <v>20260410</v>
      </c>
      <c r="I75" s="15" t="str">
        <f t="shared" si="10"/>
        <v>Capital</v>
      </c>
      <c r="J75" s="15">
        <f t="shared" si="11"/>
        <v>3.1</v>
      </c>
      <c r="K75" s="15"/>
      <c r="L75" s="20" t="str">
        <f t="shared" si="12"/>
        <v>https://www.google.com/maps/dir/Catamarca+Sur+664,+San+Juan/Escuela+Provincia+de+Buenos+Aires,+Gral.+Jos%C3%A9+Mar%C3%ADa+Paz+Oeste+1046,+J5402+AJT,+San+Juan/Catamarca+Sur+664,+San+Juan/@-31.5426308,-68.5406426,1234m/data=!3m2!1e3!4b1!4m20!4m19!1m5!1m1!1s0x9681402690dd76eb:0x4b283f8fe10ce3f3!2m2!1d-68.5293761!2d-31.5426363!1m5!1m1!1s0x96814104b2025bf3:0xdeac2654aa5cfbea!2m2!1d-68.5405544!2d-31.5428716!1m5!1m1!1s0x9681402690dd76eb:0x4b283f8fe10ce3f3!2m2!1d-68.5293761!2d-31.5426363!3e0?entry=ttu&amp;g_ep=EgoyMDI1MDgxMy4wIKXMDSoASAFQAw%3D%3D</v>
      </c>
      <c r="M75" s="21" t="str">
        <f t="shared" si="8"/>
        <v>https://webagentes.canaldirecto.com.ar/incidents/view/829628-7</v>
      </c>
      <c r="N75" s="21" t="str">
        <f t="shared" si="9"/>
        <v>https://webagentes.canaldirecto.com.ar/incidents/view/829628-7</v>
      </c>
      <c r="O75" s="21"/>
      <c r="P75" s="22"/>
    </row>
    <row r="76" spans="1:16" s="23" customFormat="1" ht="21" customHeight="1" thickBot="1" x14ac:dyDescent="0.25">
      <c r="A76" s="16">
        <v>2</v>
      </c>
      <c r="B76" s="17" t="s">
        <v>231</v>
      </c>
      <c r="C76" s="18" t="s">
        <v>19</v>
      </c>
      <c r="D76" s="18" t="s">
        <v>36</v>
      </c>
      <c r="E76" s="18" t="s">
        <v>27</v>
      </c>
      <c r="F76" s="18" t="s">
        <v>232</v>
      </c>
      <c r="G76" s="18" t="s">
        <v>233</v>
      </c>
      <c r="H76" s="19">
        <v>20260410</v>
      </c>
      <c r="I76" s="15" t="str">
        <f t="shared" si="10"/>
        <v>Capital</v>
      </c>
      <c r="J76" s="15">
        <f t="shared" si="11"/>
        <v>5.0999999999999996</v>
      </c>
      <c r="K76" s="15"/>
      <c r="L76" s="20" t="str">
        <f t="shared" si="12"/>
        <v>https://www.google.com/maps/dir/Catamarca+Sur+664,+San+Juan/Escuela+Luis+Jorge+Fontana,+25+de+Mayo+Oeste+1057,+J5400ACT+J5400ACT,+San+Juan/Catamarca+Sur+664,+San+Juan/@-31.5374842,-68.5460367,2469m/data=!3m2!1e3!4b1!4m20!4m19!1m5!1m1!1s0x9681402690dd76eb:0x4b283f8fe10ce3f3!2m2!1d-68.5293761!2d-31.5426363!1m5!1m1!1s0x9681403345144581:0x5b75fbf7b22a1c71!2m2!1d-68.5419004!2d-31.5303268!1m5!1m1!1s0x9681402690dd76eb:0x4b283f8fe10ce3f3!2m2!1d-68.5293761!2d-31.5426363!3e0?hl=es&amp;entry=ttu&amp;g_ep=EgoyMDI1MDgxMy4wIKXMDSoASAFQAw%3D%3D</v>
      </c>
      <c r="M76" s="21" t="str">
        <f t="shared" si="8"/>
        <v>https://webagentes.canaldirecto.com.ar/incidents/view/829627-8</v>
      </c>
      <c r="N76" s="21" t="str">
        <f t="shared" si="9"/>
        <v>https://webagentes.canaldirecto.com.ar/incidents/view/829627-8</v>
      </c>
      <c r="O76" s="21"/>
      <c r="P76" s="22"/>
    </row>
    <row r="77" spans="1:16" s="23" customFormat="1" ht="21" customHeight="1" thickBot="1" x14ac:dyDescent="0.25">
      <c r="A77" s="16">
        <v>2</v>
      </c>
      <c r="B77" s="17" t="s">
        <v>234</v>
      </c>
      <c r="C77" s="18" t="s">
        <v>19</v>
      </c>
      <c r="D77" s="18" t="s">
        <v>36</v>
      </c>
      <c r="E77" s="18" t="s">
        <v>27</v>
      </c>
      <c r="F77" s="18" t="s">
        <v>220</v>
      </c>
      <c r="G77" s="18" t="s">
        <v>235</v>
      </c>
      <c r="H77" s="19">
        <v>20260410</v>
      </c>
      <c r="I77" s="15" t="e">
        <f t="shared" si="10"/>
        <v>#N/A</v>
      </c>
      <c r="J77" s="15" t="e">
        <f t="shared" si="11"/>
        <v>#N/A</v>
      </c>
      <c r="K77" s="15"/>
      <c r="L77" s="20" t="e">
        <f t="shared" si="12"/>
        <v>#N/A</v>
      </c>
      <c r="M77" s="21" t="str">
        <f t="shared" si="8"/>
        <v>https://webagentes.canaldirecto.com.ar/incidents/view/829626-9</v>
      </c>
      <c r="N77" s="21" t="str">
        <f t="shared" si="9"/>
        <v>https://webagentes.canaldirecto.com.ar/incidents/view/829626-9</v>
      </c>
      <c r="O77" s="21"/>
      <c r="P77" s="22"/>
    </row>
    <row r="78" spans="1:16" s="23" customFormat="1" ht="21" customHeight="1" thickBot="1" x14ac:dyDescent="0.25">
      <c r="A78" s="24">
        <v>3</v>
      </c>
      <c r="B78" s="25" t="s">
        <v>236</v>
      </c>
      <c r="C78" s="18" t="s">
        <v>19</v>
      </c>
      <c r="D78" s="18" t="s">
        <v>20</v>
      </c>
      <c r="E78" s="18" t="s">
        <v>27</v>
      </c>
      <c r="F78" s="18" t="s">
        <v>55</v>
      </c>
      <c r="G78" s="18" t="s">
        <v>56</v>
      </c>
      <c r="H78" s="19">
        <v>20260410</v>
      </c>
      <c r="I78" s="15" t="str">
        <f t="shared" si="10"/>
        <v>Capital</v>
      </c>
      <c r="J78" s="15">
        <f t="shared" si="11"/>
        <v>12.9</v>
      </c>
      <c r="K78" s="15"/>
      <c r="L78" s="20" t="str">
        <f t="shared" si="12"/>
        <v>https://www.google.com/maps/dir/Catamarca+Sur+664,+San+Juan/Escuela+Campa%C3%B1a+Del+Desierto,+Virgen+de+Lourdes+Oeste,+Perito+Moreno+Nte.+%26,+San+Juan/Catamarca+Sur+664,+San+Juan/@-31.5349888,-68.5642218,4938m/data=!3m2!1e3!4b1!4m20!4m19!1m5!1m1!1s0x9681402690dd76eb:0x4b283f8fe10ce3f3!2m2!1d-68.5293761!2d-31.5426363!1m5!1m1!1s0x968141ba22084fc3:0xdd8686ca2302f7ef!2m2!1d-68.5547699!2d-31.5146031!1m5!1m1!1s0x9681402690dd76eb:0x4b283f8fe10ce3f3!2m2!1d-68.5293761!2d-31.5426363!3e0?entry=ttu&amp;g_ep=EgoyMDI1MDgxMy4wIKXMDSoASAFQAw%3D%3D</v>
      </c>
      <c r="M78" s="21" t="str">
        <f t="shared" si="8"/>
        <v>https://webagentes.canaldirecto.com.ar/incidents/view/829407-6</v>
      </c>
      <c r="N78" s="21" t="str">
        <f t="shared" si="9"/>
        <v>https://webagentes.canaldirecto.com.ar/incidents/view/829407-6</v>
      </c>
      <c r="O78" s="21"/>
      <c r="P78" s="22"/>
    </row>
    <row r="79" spans="1:16" s="23" customFormat="1" ht="21" customHeight="1" thickBot="1" x14ac:dyDescent="0.25">
      <c r="A79" s="24">
        <v>3</v>
      </c>
      <c r="B79" s="25" t="s">
        <v>237</v>
      </c>
      <c r="C79" s="18" t="s">
        <v>19</v>
      </c>
      <c r="D79" s="18" t="s">
        <v>20</v>
      </c>
      <c r="E79" s="18" t="s">
        <v>27</v>
      </c>
      <c r="F79" s="18" t="s">
        <v>238</v>
      </c>
      <c r="G79" s="18" t="s">
        <v>239</v>
      </c>
      <c r="H79" s="19">
        <v>20260410</v>
      </c>
      <c r="I79" s="15" t="str">
        <f t="shared" si="10"/>
        <v>Capital</v>
      </c>
      <c r="J79" s="15">
        <f t="shared" si="11"/>
        <v>5</v>
      </c>
      <c r="K79" s="15"/>
      <c r="L79" s="20" t="str">
        <f t="shared" si="12"/>
        <v>https://www.google.com/maps/dir/Catamarca+Sur+664,+San+Juan/Escuela+Comercio+Manuel+Belgrano,+J5400DUT,+Avenida+Leandro+N.+Alem+Norte+634,+J5400DUT+San+Juan/@-31.5344588,-68.5430286,2469m/data=!3m2!1e3!4b1!4m14!4m13!1m5!1m1!1s0x9681402690dd76eb:0x4b283f8fe10ce3f3!2m2!1d-68.5293761!2d-31.5426363!1m5!1m1!1s0x968141d2d7a5e59b:0x1d816e2d932da8ef!2m2!1d-68.5339222!2d-31.5280993!3e0?hl=es&amp;entry=ttu&amp;g_ep=EgoyMDI1MDYyOS4wIKXMDSoASAFQAw%3D%3D</v>
      </c>
      <c r="M79" s="21" t="str">
        <f t="shared" si="8"/>
        <v>https://webagentes.canaldirecto.com.ar/incidents/view/829354-5</v>
      </c>
      <c r="N79" s="21" t="str">
        <f t="shared" si="9"/>
        <v>https://webagentes.canaldirecto.com.ar/incidents/view/829354-5</v>
      </c>
      <c r="O79" s="21"/>
      <c r="P79" s="22"/>
    </row>
    <row r="80" spans="1:16" s="23" customFormat="1" ht="21" customHeight="1" thickBot="1" x14ac:dyDescent="0.25">
      <c r="A80" s="24">
        <v>3</v>
      </c>
      <c r="B80" s="25" t="s">
        <v>240</v>
      </c>
      <c r="C80" s="18" t="s">
        <v>19</v>
      </c>
      <c r="D80" s="18" t="s">
        <v>20</v>
      </c>
      <c r="E80" s="18" t="s">
        <v>27</v>
      </c>
      <c r="F80" s="18" t="s">
        <v>241</v>
      </c>
      <c r="G80" s="18" t="s">
        <v>242</v>
      </c>
      <c r="H80" s="19">
        <v>20260410</v>
      </c>
      <c r="I80" s="15" t="str">
        <f t="shared" si="10"/>
        <v>Chimbas</v>
      </c>
      <c r="J80" s="15">
        <f t="shared" si="11"/>
        <v>21.9</v>
      </c>
      <c r="K80" s="15"/>
      <c r="L80" s="20" t="str">
        <f t="shared" si="12"/>
        <v>https://www.google.com/maps/dir/Catamarca+Sur+664,+San+Juan/Escuela+13+de+junio,+J5413+Chimbas,+San+Juan/Catamarca+Sur+664,+San+Juan/@-31.5167635,-68.5606227,9877m/data=!3m2!1e3!4b1!4m20!4m19!1m5!1m1!1s0x9681402690dd76eb:0x4b283f8fe10ce3f3!2m2!1d-68.5293761!2d-31.5426363!1m5!1m1!1s0x96816931cc1b5c71:0x6929669d96041bea!2m2!1d-68.5203454!2d-31.4802547!1m5!1m1!1s0x9681402690dd76eb:0x4b283f8fe10ce3f3!2m2!1d-68.5293761!2d-31.5426363!3e0?entry=ttu&amp;g_ep=EgoyMDI1MDgxMy4wIKXMDSoASAFQAw%3D%3D</v>
      </c>
      <c r="M80" s="21" t="str">
        <f t="shared" si="8"/>
        <v>https://webagentes.canaldirecto.com.ar/incidents/view/829302-2</v>
      </c>
      <c r="N80" s="21" t="str">
        <f t="shared" si="9"/>
        <v>https://webagentes.canaldirecto.com.ar/incidents/view/829302-2</v>
      </c>
      <c r="O80" s="21"/>
      <c r="P80" s="22"/>
    </row>
    <row r="81" spans="1:16" s="23" customFormat="1" ht="21" customHeight="1" thickBot="1" x14ac:dyDescent="0.25">
      <c r="A81" s="24">
        <v>3</v>
      </c>
      <c r="B81" s="25" t="s">
        <v>243</v>
      </c>
      <c r="C81" s="18" t="s">
        <v>19</v>
      </c>
      <c r="D81" s="18" t="s">
        <v>20</v>
      </c>
      <c r="E81" s="18" t="s">
        <v>27</v>
      </c>
      <c r="F81" s="18" t="s">
        <v>244</v>
      </c>
      <c r="G81" s="18" t="s">
        <v>245</v>
      </c>
      <c r="H81" s="19">
        <v>20260410</v>
      </c>
      <c r="I81" s="15" t="str">
        <f t="shared" si="10"/>
        <v>Sarmiento</v>
      </c>
      <c r="J81" s="15">
        <f t="shared" si="11"/>
        <v>178</v>
      </c>
      <c r="K81" s="15">
        <v>178</v>
      </c>
      <c r="L81" s="20" t="str">
        <f t="shared" si="12"/>
        <v>https://www.google.com/maps/dir/Catamarca+Sur+664,+San+Juan/ESCUELA+ALBERGUE+JOSEFA+RAM%C3%8DREZ+DE+GARCIA,+Pedernal,+San+Juan/Catamarca+Sur+664,+San+Juan/@-31.7680515,-68.8818893,78805m/data=!3m1!1e3!4m20!4m19!1m5!1m1!1s0x9681402690dd76eb:0x4b283f8fe10ce3f3!2m2!1d-68.5293623!2d-31.542635!1m5!1m1!1s0x9680d6536b72f469:0x8b9bcd0d8c80b725!2m2!1d-68.765062!2d-31.9967952!1m5!1m1!1s0x9681402690dd76eb:0x4b283f8fe10ce3f3!2m2!1d-68.5293623!2d-31.542635!3e0?hl=es&amp;entry=ttu&amp;g_ep=EgoyMDI1MDgxOS4wIKXMDSoASAFQAw%3D%3D</v>
      </c>
      <c r="M81" s="21" t="str">
        <f t="shared" si="8"/>
        <v>https://webagentes.canaldirecto.com.ar/incidents/view/829257-3</v>
      </c>
      <c r="N81" s="21" t="str">
        <f t="shared" si="9"/>
        <v>https://webagentes.canaldirecto.com.ar/incidents/view/829257-3</v>
      </c>
      <c r="O81" s="21"/>
      <c r="P81" s="22"/>
    </row>
    <row r="82" spans="1:16" s="23" customFormat="1" ht="21" customHeight="1" thickBot="1" x14ac:dyDescent="0.25">
      <c r="A82" s="24">
        <v>3</v>
      </c>
      <c r="B82" s="25" t="s">
        <v>246</v>
      </c>
      <c r="C82" s="18" t="s">
        <v>19</v>
      </c>
      <c r="D82" s="18" t="s">
        <v>36</v>
      </c>
      <c r="E82" s="18" t="s">
        <v>27</v>
      </c>
      <c r="F82" s="18" t="s">
        <v>247</v>
      </c>
      <c r="G82" s="18" t="s">
        <v>248</v>
      </c>
      <c r="H82" s="26">
        <v>20260413</v>
      </c>
      <c r="I82" s="15" t="str">
        <f t="shared" si="10"/>
        <v>Capital</v>
      </c>
      <c r="J82" s="15">
        <f t="shared" si="11"/>
        <v>3.3</v>
      </c>
      <c r="K82" s="15"/>
      <c r="L82" s="20" t="str">
        <f t="shared" si="12"/>
        <v>google.com/maps/dir/Catamarca+Sur+664,+San+Juan/Instituto+De+Formación+Docente+"Margarita+Ferrá+De+Bartol",+200,+J5400EFD,+Mendoza+Nte.+102,+J5400EFD+San+Juan/Catamarca+Sur+664,+San+Juan/@-31.5372514,-68.5386937,2469m/data=!3m1!1e3!4m20!4m19!1m5!1m1!1s0x9681402690dd76eb:0x4b283f8fe10ce3f3!2m2!1d-68.5293623!2d-31.542635!1m5!1m1!1s0x968140298ac83a69:0xa264350cc8f9b8c6!2m2!1d-68.5264191!2d-31.5328282!1m5!1m1!1s0x9681402690dd76eb:0x4b283f8fe10ce3f3!2m2!1d-68.5293623!2d-31.542635!3e0?hl=es&amp;entry=ttu&amp;g_ep=EgoyMDI1MDgyNS4wIKXMDSoASAFQAw%3D%3D</v>
      </c>
      <c r="M82" s="21" t="str">
        <f t="shared" si="8"/>
        <v>https://webagentes.canaldirecto.com.ar/incidents/view/829792-1</v>
      </c>
      <c r="N82" s="21" t="str">
        <f t="shared" si="9"/>
        <v>https://webagentes.canaldirecto.com.ar/incidents/view/829792-1</v>
      </c>
      <c r="O82" s="21"/>
      <c r="P82" s="22"/>
    </row>
    <row r="83" spans="1:16" s="23" customFormat="1" ht="21" customHeight="1" thickBot="1" x14ac:dyDescent="0.25">
      <c r="A83" s="28">
        <v>1</v>
      </c>
      <c r="B83" s="29" t="s">
        <v>249</v>
      </c>
      <c r="C83" s="18" t="s">
        <v>19</v>
      </c>
      <c r="D83" s="18" t="s">
        <v>36</v>
      </c>
      <c r="E83" s="18" t="s">
        <v>27</v>
      </c>
      <c r="F83" s="18" t="s">
        <v>250</v>
      </c>
      <c r="G83" s="18" t="s">
        <v>251</v>
      </c>
      <c r="H83" s="26">
        <v>20260413</v>
      </c>
      <c r="I83" s="15" t="str">
        <f t="shared" si="10"/>
        <v>Capital</v>
      </c>
      <c r="J83" s="15">
        <f t="shared" si="11"/>
        <v>5</v>
      </c>
      <c r="K83" s="15"/>
      <c r="L83" s="20" t="str">
        <f t="shared" si="12"/>
        <v>https://www.google.com/maps/dir/Catamarca+Sur+664,+San+Juan/Escuela+Fray+Justo+Santa+Maria+De+oro,+C.+Juan+B+Alberdi+Oeste+175,+J5400+San+Juan/@-31.5341709,-68.5376641,2469m/data=!3m2!1e3!4b1!4m14!4m13!1m5!1m1!1s0x9681402690dd76eb:0x4b283f8fe10ce3f3!2m2!1d-68.5293761!2d-31.5426363!1m5!1m1!1s0x96816a7ff45e153f:0xf9312e9253b771a7!2m2!1d-68.5244161!2d-31.5258424!3e0?entry=ttu&amp;g_ep=EgoyMDI1MDYxNy4wIKXMDSoASAFQAw%3D%3D</v>
      </c>
      <c r="M83" s="21" t="str">
        <f t="shared" si="8"/>
        <v>https://webagentes.canaldirecto.com.ar/incidents/view/829791-2</v>
      </c>
      <c r="N83" s="21" t="str">
        <f t="shared" si="9"/>
        <v>https://webagentes.canaldirecto.com.ar/incidents/view/829791-2</v>
      </c>
      <c r="O83" s="21"/>
      <c r="P83" s="22"/>
    </row>
    <row r="84" spans="1:16" s="23" customFormat="1" ht="21" customHeight="1" thickBot="1" x14ac:dyDescent="0.25">
      <c r="A84" s="28">
        <v>1</v>
      </c>
      <c r="B84" s="29" t="s">
        <v>252</v>
      </c>
      <c r="C84" s="18" t="s">
        <v>19</v>
      </c>
      <c r="D84" s="18" t="s">
        <v>36</v>
      </c>
      <c r="E84" s="18" t="s">
        <v>27</v>
      </c>
      <c r="F84" s="18" t="s">
        <v>253</v>
      </c>
      <c r="G84" s="18" t="s">
        <v>254</v>
      </c>
      <c r="H84" s="26">
        <v>20260413</v>
      </c>
      <c r="I84" s="15" t="str">
        <f t="shared" si="10"/>
        <v>Capital</v>
      </c>
      <c r="J84" s="15">
        <f t="shared" si="11"/>
        <v>2</v>
      </c>
      <c r="K84" s="15"/>
      <c r="L84" s="20" t="str">
        <f t="shared" si="12"/>
        <v>https://www.google.com/maps/dir/Catamarca+Sur+664,+San+Juan/Escuela+Antonio+Torres+Turno+Tarde,+J5402EGJ,+Gral+Mariano+Acha+Sur+402-500,+J5402EGJ+San+Juan/@-31.5410004,-68.5293741,617m/data=!3m2!1e3!4b1!4m14!4m13!1m5!1m1!1s0x9681402690dd76eb:0x4b283f8fe10ce3f3!2m2!1d-68.5293761!2d-31.5426363!1m5!1m1!1s0x96816a9d6fa6790b:0x410dcfe1ca3c531!2m2!1d-68.5240044!2d-31.539353!3e0?entry=ttu&amp;g_ep=EgoyMDI1MDYxNy4wIKXMDSoASAFQAw%3D%3D</v>
      </c>
      <c r="M84" s="21" t="str">
        <f t="shared" si="8"/>
        <v>https://webagentes.canaldirecto.com.ar/incidents/view/829790-3</v>
      </c>
      <c r="N84" s="21" t="str">
        <f t="shared" si="9"/>
        <v>https://webagentes.canaldirecto.com.ar/incidents/view/829790-3</v>
      </c>
      <c r="O84" s="21"/>
      <c r="P84" s="22"/>
    </row>
    <row r="85" spans="1:16" s="23" customFormat="1" ht="21" customHeight="1" thickBot="1" x14ac:dyDescent="0.25">
      <c r="A85" s="28">
        <v>1</v>
      </c>
      <c r="B85" s="29" t="s">
        <v>255</v>
      </c>
      <c r="C85" s="18" t="s">
        <v>19</v>
      </c>
      <c r="D85" s="18" t="s">
        <v>36</v>
      </c>
      <c r="E85" s="18" t="s">
        <v>27</v>
      </c>
      <c r="F85" s="18" t="s">
        <v>256</v>
      </c>
      <c r="G85" s="18" t="s">
        <v>257</v>
      </c>
      <c r="H85" s="26">
        <v>20260413</v>
      </c>
      <c r="I85" s="15" t="str">
        <f t="shared" si="10"/>
        <v>Capital</v>
      </c>
      <c r="J85" s="15">
        <f t="shared" si="11"/>
        <v>1.7</v>
      </c>
      <c r="K85" s="15"/>
      <c r="L85" s="20" t="str">
        <f t="shared" si="12"/>
        <v>https://www.google.com/maps/dir/Catamarca+Sur+664,+San+Juan/E.E.E.+ARA+San+Juan+(S.A.R.M.),+J5402ECU,+Domingo+Faustino+Sarmiento+Sur+1001-1099,+J5402ECU+San+Juan/Catamarca+Sur+664,+San+Juan/@-31.544626,-68.534557,1234m/data=!3m2!1e3!4b1!4m20!4m19!1m5!1m1!1s0x9681402690dd76eb:0x4b283f8fe10ce3f3!2m2!1d-68.5293761!2d-31.5426363!1m5!1m1!1s0x96814021aac8fbd9:0xafdfb52e2af629c8!2m2!1d-68.5280374!2d-31.547306!1m5!1m1!1s0x9681402690dd76eb:0x4b283f8fe10ce3f3!2m2!1d-68.5293761!2d-31.5426363!3e0?entry=ttu&amp;g_ep=EgoyMDI1MDgxMy4wIKXMDSoASAFQAw%3D%3D</v>
      </c>
      <c r="M85" s="21" t="str">
        <f t="shared" si="8"/>
        <v>https://webagentes.canaldirecto.com.ar/incidents/view/829789-7</v>
      </c>
      <c r="N85" s="21" t="str">
        <f t="shared" si="9"/>
        <v>https://webagentes.canaldirecto.com.ar/incidents/view/829789-7</v>
      </c>
      <c r="O85" s="21"/>
      <c r="P85" s="22"/>
    </row>
    <row r="86" spans="1:16" s="23" customFormat="1" ht="21" customHeight="1" thickBot="1" x14ac:dyDescent="0.25">
      <c r="A86" s="28">
        <v>1</v>
      </c>
      <c r="B86" s="29" t="s">
        <v>258</v>
      </c>
      <c r="C86" s="18" t="s">
        <v>19</v>
      </c>
      <c r="D86" s="18" t="s">
        <v>36</v>
      </c>
      <c r="E86" s="18" t="s">
        <v>27</v>
      </c>
      <c r="F86" s="18" t="s">
        <v>259</v>
      </c>
      <c r="G86" s="18" t="s">
        <v>260</v>
      </c>
      <c r="H86" s="26">
        <v>20260413</v>
      </c>
      <c r="I86" s="15" t="str">
        <f t="shared" si="10"/>
        <v>Capital</v>
      </c>
      <c r="J86" s="15">
        <f t="shared" si="11"/>
        <v>3.8</v>
      </c>
      <c r="K86" s="15"/>
      <c r="L86" s="20" t="str">
        <f t="shared" si="12"/>
        <v>https://www.google.com/maps/dir/Catamarca+Sur+664,+San+Juan/Escuela+%C3%81ngel+D.+Rojas,+J5402BXC,+Agust%C3%ADn+G%C3%B3mez+Este+101-199,+J5402+BXC,+San+Juan/Catamarca+Sur+664,+San+Juan/@-31.5469561,-68.5364926,2469m/data=!3m2!1e3!4b1!4m20!4m19!1m5!1m1!1s0x9681402690dd76eb:0x4b283f8fe10ce3f3!2m2!1d-68.5293761!2d-31.5426363!1m5!1m1!1s0x96816aa1217f9da1:0x6eb5cbbba68e2c97!2m2!1d-68.5216852!2d-31.5524697!1m5!1m1!1s0x9681402690dd76eb:0x4b283f8fe10ce3f3!2m2!1d-68.5293761!2d-31.5426363!3e0?entry=ttu&amp;g_ep=EgoyMDI1MDgxMy4wIKXMDSoASAFQAw%3D%3D</v>
      </c>
      <c r="M86" s="21" t="str">
        <f t="shared" si="8"/>
        <v>https://webagentes.canaldirecto.com.ar/incidents/view/829788-8</v>
      </c>
      <c r="N86" s="21" t="str">
        <f t="shared" si="9"/>
        <v>https://webagentes.canaldirecto.com.ar/incidents/view/829788-8</v>
      </c>
      <c r="O86" s="21"/>
      <c r="P86" s="22"/>
    </row>
    <row r="87" spans="1:16" s="23" customFormat="1" ht="21" customHeight="1" thickBot="1" x14ac:dyDescent="0.25">
      <c r="A87" s="28">
        <v>1</v>
      </c>
      <c r="B87" s="29" t="s">
        <v>261</v>
      </c>
      <c r="C87" s="18" t="s">
        <v>19</v>
      </c>
      <c r="D87" s="18" t="s">
        <v>36</v>
      </c>
      <c r="E87" s="18" t="s">
        <v>27</v>
      </c>
      <c r="F87" s="18" t="s">
        <v>262</v>
      </c>
      <c r="G87" s="18" t="s">
        <v>263</v>
      </c>
      <c r="H87" s="26">
        <v>20260413</v>
      </c>
      <c r="I87" s="15" t="str">
        <f t="shared" si="10"/>
        <v>Capital</v>
      </c>
      <c r="J87" s="15">
        <f t="shared" si="11"/>
        <v>5</v>
      </c>
      <c r="K87" s="15"/>
      <c r="L87" s="20" t="str">
        <f t="shared" si="12"/>
        <v>https://www.google.com/maps/dir/Catamarca+Sur+664,+San+Juan/Escuela+%C3%81ngel+D.+Rojas,+J5402BXC,+Agust%C3%ADn+G%C3%B3mez+Este+101-199,+J5402+BXC,+San+Juan/@-31.5469129,-68.5357624,2469m/data=!3m2!1e3!4b1!4m14!4m13!1m5!1m1!1s0x9681402690dd76eb:0x4b283f8fe10ce3f3!2m2!1d-68.5293761!2d-31.5426363!1m5!1m1!1s0x96816aa1217f9da1:0x6eb5cbbba68e2c97!2m2!1d-68.5216852!2d-31.5524697!3e0?hl=es&amp;entry=ttu&amp;g_ep=EgoyMDI1MDYyOS4wIKXMDSoASAFQAw%3D%3D</v>
      </c>
      <c r="M87" s="21" t="str">
        <f t="shared" si="8"/>
        <v>https://webagentes.canaldirecto.com.ar/incidents/view/829787-9</v>
      </c>
      <c r="N87" s="21" t="str">
        <f t="shared" si="9"/>
        <v>https://webagentes.canaldirecto.com.ar/incidents/view/829787-9</v>
      </c>
      <c r="O87" s="21"/>
      <c r="P87" s="22"/>
    </row>
    <row r="88" spans="1:16" s="23" customFormat="1" ht="21" customHeight="1" thickBot="1" x14ac:dyDescent="0.25">
      <c r="A88" s="28">
        <v>1</v>
      </c>
      <c r="B88" s="29" t="s">
        <v>264</v>
      </c>
      <c r="C88" s="18" t="s">
        <v>19</v>
      </c>
      <c r="D88" s="18" t="s">
        <v>36</v>
      </c>
      <c r="E88" s="18" t="s">
        <v>27</v>
      </c>
      <c r="F88" s="18" t="s">
        <v>265</v>
      </c>
      <c r="G88" s="18" t="s">
        <v>266</v>
      </c>
      <c r="H88" s="26">
        <v>20260413</v>
      </c>
      <c r="I88" s="15" t="str">
        <f t="shared" si="10"/>
        <v>Capital</v>
      </c>
      <c r="J88" s="15">
        <f t="shared" si="11"/>
        <v>0.8</v>
      </c>
      <c r="K88" s="15"/>
      <c r="L88" s="20" t="str">
        <f t="shared" si="12"/>
        <v>https://www.google.com/maps/dir/Catamarca+Sur+664,+San+Juan/Escuela+Martha+Salotti+(Turno+Tarde),+Gral+Mariano+Acha+Sur+466,+J5402EGJ+San+Juan/@-31.541232,-68.529382,617m/data=!3m2!1e3!4b1!4m14!4m13!1m5!1m1!1s0x9681402690dd76eb:0x4b283f8fe10ce3f3!2m2!1d-68.5293761!2d-31.5426363!1m5!1m1!1s0x96816a9d64e8191d:0xc16a5be2d6756e00!2m2!1d-68.5237817!2d-31.5398134!3e0?hl=es&amp;entry=ttu&amp;g_ep=EgoyMDI1MDYyOS4wIKXMDSoASAFQAw%3D%3D</v>
      </c>
      <c r="M88" s="21" t="str">
        <f t="shared" si="8"/>
        <v>https://webagentes.canaldirecto.com.ar/incidents/view/829786-0</v>
      </c>
      <c r="N88" s="21" t="str">
        <f t="shared" si="9"/>
        <v>https://webagentes.canaldirecto.com.ar/incidents/view/829786-0</v>
      </c>
      <c r="O88" s="21"/>
      <c r="P88" s="22"/>
    </row>
    <row r="89" spans="1:16" s="23" customFormat="1" ht="21" customHeight="1" thickBot="1" x14ac:dyDescent="0.25">
      <c r="A89" s="28">
        <v>1</v>
      </c>
      <c r="B89" s="29" t="s">
        <v>267</v>
      </c>
      <c r="C89" s="18" t="s">
        <v>19</v>
      </c>
      <c r="D89" s="18" t="s">
        <v>36</v>
      </c>
      <c r="E89" s="18" t="s">
        <v>27</v>
      </c>
      <c r="F89" s="18" t="s">
        <v>268</v>
      </c>
      <c r="G89" s="18" t="s">
        <v>269</v>
      </c>
      <c r="H89" s="26">
        <v>20260413</v>
      </c>
      <c r="I89" s="15" t="str">
        <f t="shared" si="10"/>
        <v>Capital</v>
      </c>
      <c r="J89" s="15">
        <f t="shared" si="11"/>
        <v>5</v>
      </c>
      <c r="K89" s="15"/>
      <c r="L89" s="20" t="str">
        <f t="shared" si="12"/>
        <v>https://www.google.com/maps/dir/Catamarca+Sur+664,+San+Juan/Escuela+De+Nivel+Inicial+N%C2%B02+Pinkanta,+C.+Mart%C3%ADn+G%C3%BCemes+Nte.+146,+J5400EUD+J5400EUD,+San+Juan/@-31.5368893,-68.5337671,2469m/data=!3m2!1e3!4b1!4m14!4m13!1m5!1m1!1s0x9681402690dd76eb:0x4b283f8fe10ce3f3!2m2!1d-68.5293761!2d-31.5426363!1m5!1m1!1s0x96816b03edc2bda7:0x8df272f4afa606f1!2m2!1d-68.5164919!2d-31.5317614!3e0?entry=ttu&amp;g_ep=EgoyMDI1MDYyOS4wIKXMDSoASAFQAw%3D%3D</v>
      </c>
      <c r="M89" s="21" t="str">
        <f t="shared" si="8"/>
        <v>https://webagentes.canaldirecto.com.ar/incidents/view/829785-1</v>
      </c>
      <c r="N89" s="21" t="str">
        <f t="shared" si="9"/>
        <v>https://webagentes.canaldirecto.com.ar/incidents/view/829785-1</v>
      </c>
      <c r="O89" s="21"/>
      <c r="P89" s="22"/>
    </row>
    <row r="90" spans="1:16" s="23" customFormat="1" ht="21" customHeight="1" thickBot="1" x14ac:dyDescent="0.25">
      <c r="A90" s="28">
        <v>1</v>
      </c>
      <c r="B90" s="29" t="s">
        <v>270</v>
      </c>
      <c r="C90" s="18" t="s">
        <v>19</v>
      </c>
      <c r="D90" s="18" t="s">
        <v>36</v>
      </c>
      <c r="E90" s="18" t="s">
        <v>27</v>
      </c>
      <c r="F90" s="18" t="s">
        <v>271</v>
      </c>
      <c r="G90" s="18" t="s">
        <v>272</v>
      </c>
      <c r="H90" s="26">
        <v>20260413</v>
      </c>
      <c r="I90" s="15" t="str">
        <f t="shared" si="10"/>
        <v>Capital</v>
      </c>
      <c r="J90" s="15">
        <f t="shared" si="11"/>
        <v>5</v>
      </c>
      <c r="K90" s="15"/>
      <c r="L90" s="20" t="str">
        <f t="shared" si="12"/>
        <v>https://www.google.com/maps/dir/Catamarca+Sur+664,+San+Juan/Escuela+Fray+Justo+Santa+Maria+De+oro,+C.+Juan+B+Alberdi+Oeste+175,+J5400+San+Juan/@-31.5341709,-68.5376641,2469m/data=!3m2!1e3!4b1!4m14!4m13!1m5!1m1!1s0x9681402690dd76eb:0x4b283f8fe10ce3f3!2m2!1d-68.5293761!2d-31.5426363!1m5!1m1!1s0x96816a7ff45e153f:0xf9312e9253b771a7!2m2!1d-68.5244161!2d-31.5258424!3e0?hl=es&amp;entry=ttu&amp;g_ep=EgoyMDI1MDYyOS4wIKXMDSoASAFQAw%3D%3D</v>
      </c>
      <c r="M90" s="21" t="str">
        <f t="shared" si="8"/>
        <v>https://webagentes.canaldirecto.com.ar/incidents/view/829784-2</v>
      </c>
      <c r="N90" s="21" t="str">
        <f t="shared" si="9"/>
        <v>https://webagentes.canaldirecto.com.ar/incidents/view/829784-2</v>
      </c>
      <c r="O90" s="21"/>
      <c r="P90" s="22"/>
    </row>
    <row r="91" spans="1:16" s="23" customFormat="1" ht="21" customHeight="1" thickBot="1" x14ac:dyDescent="0.25">
      <c r="A91" s="24">
        <v>3</v>
      </c>
      <c r="B91" s="25" t="s">
        <v>273</v>
      </c>
      <c r="C91" s="18" t="s">
        <v>19</v>
      </c>
      <c r="D91" s="18" t="s">
        <v>20</v>
      </c>
      <c r="E91" s="18" t="s">
        <v>27</v>
      </c>
      <c r="F91" s="18" t="s">
        <v>149</v>
      </c>
      <c r="G91" s="18" t="s">
        <v>150</v>
      </c>
      <c r="H91" s="26">
        <v>20260413</v>
      </c>
      <c r="I91" s="15" t="e">
        <f t="shared" si="10"/>
        <v>#N/A</v>
      </c>
      <c r="J91" s="15" t="e">
        <f t="shared" si="11"/>
        <v>#N/A</v>
      </c>
      <c r="K91" s="15"/>
      <c r="L91" s="20" t="e">
        <f t="shared" si="12"/>
        <v>#N/A</v>
      </c>
      <c r="M91" s="21" t="str">
        <f t="shared" si="8"/>
        <v>https://webagentes.canaldirecto.com.ar/incidents/view/829634-8</v>
      </c>
      <c r="N91" s="21" t="str">
        <f t="shared" si="9"/>
        <v>https://webagentes.canaldirecto.com.ar/incidents/view/829634-8</v>
      </c>
      <c r="O91" s="21"/>
      <c r="P91" s="22"/>
    </row>
    <row r="92" spans="1:16" s="23" customFormat="1" ht="21" customHeight="1" thickBot="1" x14ac:dyDescent="0.25">
      <c r="A92" s="24">
        <v>3</v>
      </c>
      <c r="B92" s="25" t="s">
        <v>274</v>
      </c>
      <c r="C92" s="18" t="s">
        <v>19</v>
      </c>
      <c r="D92" s="18" t="s">
        <v>20</v>
      </c>
      <c r="E92" s="18" t="s">
        <v>27</v>
      </c>
      <c r="F92" s="18" t="s">
        <v>275</v>
      </c>
      <c r="G92" s="18" t="s">
        <v>276</v>
      </c>
      <c r="H92" s="26">
        <v>20260413</v>
      </c>
      <c r="I92" s="15" t="str">
        <f t="shared" si="10"/>
        <v>Chimbas</v>
      </c>
      <c r="J92" s="15">
        <f t="shared" si="11"/>
        <v>21.9</v>
      </c>
      <c r="K92" s="15">
        <v>21.9</v>
      </c>
      <c r="L92" s="20" t="str">
        <f t="shared" si="12"/>
        <v>https://www.google.com/maps/dir/Catamarca+Sur+664,+San+Juan/Escuela+Juana+Godoy+de+Brandes,+J5413+Chimbas,+San+Juan/Catamarca+Sur+664,+San+Juan/@-31.5325519,-68.606008,9876m/data=!3m1!1e3!4m20!4m19!1m5!1m1!1s0x9681402690dd76eb:0x4b283f8fe10ce3f3!2m2!1d-68.5293623!2d-31.542635!1m5!1m1!1s0x968141585d31a459:0x4c555fd077e4cf99!2m2!1d-68.6046596!2d-31.5104137!1m5!1m1!1s0x9681402690dd76eb:0x4b283f8fe10ce3f3!2m2!1d-68.5293623!2d-31.542635!3e0?entry=ttu&amp;g_ep=EgoyMDI1MDgxOS4wIKXMDSoASAFQAw%3D%3D</v>
      </c>
      <c r="M92" s="21" t="str">
        <f t="shared" si="8"/>
        <v>https://webagentes.canaldirecto.com.ar/incidents/view/829449-2</v>
      </c>
      <c r="N92" s="21" t="str">
        <f t="shared" si="9"/>
        <v>https://webagentes.canaldirecto.com.ar/incidents/view/829449-2</v>
      </c>
      <c r="O92" s="21"/>
      <c r="P92" s="22"/>
    </row>
    <row r="93" spans="1:16" s="23" customFormat="1" ht="21" customHeight="1" thickBot="1" x14ac:dyDescent="0.25">
      <c r="A93" s="24">
        <v>3</v>
      </c>
      <c r="B93" s="25" t="s">
        <v>277</v>
      </c>
      <c r="C93" s="18" t="s">
        <v>19</v>
      </c>
      <c r="D93" s="18" t="s">
        <v>20</v>
      </c>
      <c r="E93" s="18" t="s">
        <v>27</v>
      </c>
      <c r="F93" s="18" t="s">
        <v>278</v>
      </c>
      <c r="G93" s="18" t="s">
        <v>279</v>
      </c>
      <c r="H93" s="26">
        <v>20260413</v>
      </c>
      <c r="I93" s="15" t="str">
        <f t="shared" si="10"/>
        <v>CAPITAL</v>
      </c>
      <c r="J93" s="15">
        <f t="shared" si="11"/>
        <v>0</v>
      </c>
      <c r="K93" s="15"/>
      <c r="L93" s="20">
        <f t="shared" si="12"/>
        <v>0</v>
      </c>
      <c r="M93" s="21" t="str">
        <f t="shared" si="8"/>
        <v>https://webagentes.canaldirecto.com.ar/incidents/view/829412-8</v>
      </c>
      <c r="N93" s="21" t="str">
        <f t="shared" si="9"/>
        <v>https://webagentes.canaldirecto.com.ar/incidents/view/829412-8</v>
      </c>
      <c r="O93" s="21"/>
      <c r="P93" s="22"/>
    </row>
    <row r="94" spans="1:16" s="23" customFormat="1" ht="21" customHeight="1" thickBot="1" x14ac:dyDescent="0.25">
      <c r="A94" s="24">
        <v>3</v>
      </c>
      <c r="B94" s="25" t="s">
        <v>280</v>
      </c>
      <c r="C94" s="18" t="s">
        <v>19</v>
      </c>
      <c r="D94" s="18" t="s">
        <v>26</v>
      </c>
      <c r="E94" s="18" t="s">
        <v>27</v>
      </c>
      <c r="F94" s="18" t="s">
        <v>281</v>
      </c>
      <c r="G94" s="18" t="s">
        <v>282</v>
      </c>
      <c r="H94" s="35">
        <v>20260414</v>
      </c>
      <c r="I94" s="15" t="e">
        <f t="shared" si="10"/>
        <v>#N/A</v>
      </c>
      <c r="J94" s="15" t="e">
        <f t="shared" si="11"/>
        <v>#N/A</v>
      </c>
      <c r="K94" s="15"/>
      <c r="L94" s="20" t="e">
        <f t="shared" si="12"/>
        <v>#N/A</v>
      </c>
      <c r="M94" s="21" t="str">
        <f t="shared" si="8"/>
        <v>https://webagentes.canaldirecto.com.ar/incidents/view/829981-3</v>
      </c>
      <c r="N94" s="21" t="str">
        <f t="shared" si="9"/>
        <v>https://webagentes.canaldirecto.com.ar/incidents/view/829981-3</v>
      </c>
      <c r="O94" s="21"/>
      <c r="P94" s="22"/>
    </row>
    <row r="95" spans="1:16" s="23" customFormat="1" ht="21" customHeight="1" thickBot="1" x14ac:dyDescent="0.25">
      <c r="A95" s="16">
        <v>2</v>
      </c>
      <c r="B95" s="17" t="s">
        <v>283</v>
      </c>
      <c r="C95" s="18" t="s">
        <v>19</v>
      </c>
      <c r="D95" s="18" t="s">
        <v>36</v>
      </c>
      <c r="E95" s="18" t="s">
        <v>27</v>
      </c>
      <c r="F95" s="18" t="s">
        <v>284</v>
      </c>
      <c r="G95" s="18" t="s">
        <v>285</v>
      </c>
      <c r="H95" s="35">
        <v>20260414</v>
      </c>
      <c r="I95" s="15" t="str">
        <f t="shared" si="10"/>
        <v>Capital</v>
      </c>
      <c r="J95" s="15">
        <f t="shared" si="11"/>
        <v>3</v>
      </c>
      <c r="K95" s="15"/>
      <c r="L95" s="20" t="str">
        <f t="shared" si="12"/>
        <v>https://www.google.com/maps/dir/Catamarca+Sur+664,+San+Juan/Escuela+Normal+Superior+%22Sarmiento%22,+J5402DYA,+Av.+Leandro+N.+Alem+Sur+11-99,+J5402DYA+San+Juan/@-31.538548,-68.5358873,1234m/data=!3m2!1e3!4b1!4m14!4m13!1m5!1m1!1s0x9681402690dd76eb:0x4b283f8fe10ce3f3!2m2!1d-68.5293761!2d-31.5426363!1m5!1m1!1s0x9681402ec07364ef:0x6f9dfb50506f4e5d!2m2!1d-68.5320464!2d-31.5352218!3e0?entry=ttu&amp;g_ep=EgoyMDI1MDYxNy4wIKXMDSoASAFQAw%3D%3D</v>
      </c>
      <c r="M95" s="21" t="str">
        <f t="shared" si="8"/>
        <v>https://webagentes.canaldirecto.com.ar/incidents/view/829969-1</v>
      </c>
      <c r="N95" s="21" t="str">
        <f t="shared" si="9"/>
        <v>https://webagentes.canaldirecto.com.ar/incidents/view/829969-1</v>
      </c>
      <c r="O95" s="21"/>
      <c r="P95" s="22"/>
    </row>
    <row r="96" spans="1:16" s="23" customFormat="1" ht="21" customHeight="1" thickBot="1" x14ac:dyDescent="0.25">
      <c r="A96" s="16">
        <v>2</v>
      </c>
      <c r="B96" s="17" t="s">
        <v>286</v>
      </c>
      <c r="C96" s="18" t="s">
        <v>19</v>
      </c>
      <c r="D96" s="18" t="s">
        <v>36</v>
      </c>
      <c r="E96" s="18" t="s">
        <v>27</v>
      </c>
      <c r="F96" s="18" t="s">
        <v>287</v>
      </c>
      <c r="G96" s="18" t="s">
        <v>288</v>
      </c>
      <c r="H96" s="35">
        <v>20260414</v>
      </c>
      <c r="I96" s="15" t="str">
        <f t="shared" si="10"/>
        <v>Capital</v>
      </c>
      <c r="J96" s="15">
        <f t="shared" si="11"/>
        <v>4.5999999999999996</v>
      </c>
      <c r="K96" s="15"/>
      <c r="L96" s="20" t="str">
        <f t="shared" si="12"/>
        <v>https://www.google.com/maps/dir/Catamarca+Sur+664,+San+Juan/E.E.E.+LUIS+BRAILLE,+J5402+San+Juan/Catamarca+Sur+664,+San+Juan/@-31.5479509,-68.5350915,2468m/data=!3m2!1e3!4b1!4m20!4m19!1m5!1m1!1s0x9681402690dd76eb:0x4b283f8fe10ce3f3!2m2!1d-68.5293761!2d-31.5426363!1m5!1m1!1s0x96816aa6ba52e3d1:0x7a2ab8755da6a26e!2m2!1d-68.5196952!2d-31.5543395!1m5!1m1!1s0x9681402690dd76eb:0x4b283f8fe10ce3f3!2m2!1d-68.5293761!2d-31.5426363!3e0?hl=es&amp;entry=ttu&amp;g_ep=EgoyMDI1MDczMC4wIKXMDSoASAFQAw%3D%3D</v>
      </c>
      <c r="M96" s="21" t="str">
        <f t="shared" si="8"/>
        <v>https://webagentes.canaldirecto.com.ar/incidents/view/829968-2</v>
      </c>
      <c r="N96" s="21" t="str">
        <f t="shared" si="9"/>
        <v>https://webagentes.canaldirecto.com.ar/incidents/view/829968-2</v>
      </c>
      <c r="O96" s="21"/>
      <c r="P96" s="22"/>
    </row>
    <row r="97" spans="1:16" s="23" customFormat="1" ht="21" customHeight="1" thickBot="1" x14ac:dyDescent="0.25">
      <c r="A97" s="16">
        <v>2</v>
      </c>
      <c r="B97" s="17" t="s">
        <v>289</v>
      </c>
      <c r="C97" s="18" t="s">
        <v>19</v>
      </c>
      <c r="D97" s="18" t="s">
        <v>36</v>
      </c>
      <c r="E97" s="18" t="s">
        <v>27</v>
      </c>
      <c r="F97" s="18" t="s">
        <v>290</v>
      </c>
      <c r="G97" s="18" t="s">
        <v>291</v>
      </c>
      <c r="H97" s="35">
        <v>20260414</v>
      </c>
      <c r="I97" s="15" t="str">
        <f t="shared" si="10"/>
        <v>CAPITAL</v>
      </c>
      <c r="J97" s="15">
        <f t="shared" si="11"/>
        <v>7.7</v>
      </c>
      <c r="K97" s="15"/>
      <c r="L97" s="20" t="str">
        <f t="shared" si="12"/>
        <v>https://www.google.com/maps/dir/Catamarca+Sur,+San+Juan/Escuela+Tte.+Pedro+Nolasco+Fonseca,+J5400+San+Juan/Catamarca+Sur,+San+Juan/@-31.5382599,-68.5541493,2469m/data=!3m1!1e3!4m20!4m19!1m5!1m1!1s0x968140269756b7e1:0x3c38eb6d66eb45d!2m2!1d-68.5295918!2d-31.5427459!1m5!1m1!1s0x9681404d2c128917:0x7aa72adc8c61e97b!2m2!1d-68.5579031!2d-31.53311!1m5!1m1!1s0x968140269756b7e1:0x3c38eb6d66eb45d!2m2!1d-68.5295918!2d-31.5427459!3e0?hl=es&amp;entry=ttu&amp;g_ep=EgoyMDI1MTAwOC4wIKXMDSoASAFQAw%3D%3D</v>
      </c>
      <c r="M97" s="21" t="str">
        <f t="shared" si="8"/>
        <v>https://webagentes.canaldirecto.com.ar/incidents/view/829967-3</v>
      </c>
      <c r="N97" s="21" t="str">
        <f t="shared" si="9"/>
        <v>https://webagentes.canaldirecto.com.ar/incidents/view/829967-3</v>
      </c>
      <c r="O97" s="21"/>
      <c r="P97" s="22"/>
    </row>
    <row r="98" spans="1:16" s="23" customFormat="1" ht="21" customHeight="1" thickBot="1" x14ac:dyDescent="0.25">
      <c r="A98" s="16">
        <v>2</v>
      </c>
      <c r="B98" s="17" t="s">
        <v>292</v>
      </c>
      <c r="C98" s="18" t="s">
        <v>19</v>
      </c>
      <c r="D98" s="18" t="s">
        <v>36</v>
      </c>
      <c r="E98" s="18" t="s">
        <v>27</v>
      </c>
      <c r="F98" s="18" t="s">
        <v>293</v>
      </c>
      <c r="G98" s="18" t="s">
        <v>294</v>
      </c>
      <c r="H98" s="35">
        <v>20260414</v>
      </c>
      <c r="I98" s="15" t="str">
        <f t="shared" si="10"/>
        <v>Zonda</v>
      </c>
      <c r="J98" s="15">
        <f t="shared" si="11"/>
        <v>45.9</v>
      </c>
      <c r="K98" s="15"/>
      <c r="L98" s="20" t="str">
        <f t="shared" si="12"/>
        <v>https://www.google.com/maps/dir/Catamarca+Sur+664,+San+Juan/Escuela+Rafael+Obligado,+Villa+Basilio+Nievas,+San+Juan/Catamarca+Sur+664,+San+Juan/@-31.5526162,-68.7127068,19747m/data=!3m2!1e3!4b1!4m20!4m19!1m5!1m1!1s0x9681402690dd76eb:0x4b283f8fe10ce3f3!2m2!1d-68.5293761!2d-31.5426363!1m5!1m1!1s0x9681488fd721e9ef:0xebd083423b94a500!2m2!1d-68.7298254!2d-31.5521921!1m5!1m1!1s0x9681402690dd76eb:0x4b283f8fe10ce3f3!2m2!1d-68.5293761!2d-31.5426363!3e0?hl=es&amp;entry=ttu&amp;g_ep=EgoyMDI1MDgxMy4wIKXMDSoASAFQAw%3D%3D</v>
      </c>
      <c r="M98" s="21" t="str">
        <f t="shared" si="8"/>
        <v>https://webagentes.canaldirecto.com.ar/incidents/view/829966-4</v>
      </c>
      <c r="N98" s="21" t="str">
        <f t="shared" si="9"/>
        <v>https://webagentes.canaldirecto.com.ar/incidents/view/829966-4</v>
      </c>
      <c r="O98" s="21"/>
      <c r="P98" s="22"/>
    </row>
    <row r="99" spans="1:16" s="23" customFormat="1" ht="21" customHeight="1" thickBot="1" x14ac:dyDescent="0.25">
      <c r="A99" s="16">
        <v>2</v>
      </c>
      <c r="B99" s="17" t="s">
        <v>295</v>
      </c>
      <c r="C99" s="18" t="s">
        <v>19</v>
      </c>
      <c r="D99" s="18" t="s">
        <v>36</v>
      </c>
      <c r="E99" s="18" t="s">
        <v>27</v>
      </c>
      <c r="F99" s="18" t="s">
        <v>296</v>
      </c>
      <c r="G99" s="18" t="s">
        <v>297</v>
      </c>
      <c r="H99" s="35">
        <v>20260414</v>
      </c>
      <c r="I99" s="15" t="str">
        <f t="shared" si="10"/>
        <v>Capital</v>
      </c>
      <c r="J99" s="15">
        <f t="shared" si="11"/>
        <v>0.8</v>
      </c>
      <c r="K99" s="15"/>
      <c r="L99" s="20" t="str">
        <f t="shared" si="12"/>
        <v>https://www.google.com/maps/dir/Catamarca+Sur+664,+San+Juan/ISFD+Escuela+Normal+Superior+Sarmiento,+Santiago+del+Estero+Sur,+J5402+San+Juan/@-31.5419934,-68.5329552,617m/data=!3m2!1e3!4b1!4m14!4m13!1m5!1m1!1s0x9681402690dd76eb:0x4b283f8fe10ce3f3!2m2!1d-68.5293761!2d-31.5426363!1m5!1m1!1s0x968141c7616d4cef:0xe0421ce0356c4fb0!2m2!1d-68.5323328!2d-31.5434325!3e0?entry=ttu&amp;g_ep=EgoyMDI1MDYxNy4wIKXMDSoASAFQAw%3D%3D</v>
      </c>
      <c r="M99" s="21" t="str">
        <f t="shared" si="8"/>
        <v>https://webagentes.canaldirecto.com.ar/incidents/view/829965-5</v>
      </c>
      <c r="N99" s="21" t="str">
        <f t="shared" si="9"/>
        <v>https://webagentes.canaldirecto.com.ar/incidents/view/829965-5</v>
      </c>
      <c r="O99" s="21"/>
      <c r="P99" s="22"/>
    </row>
    <row r="100" spans="1:16" s="23" customFormat="1" ht="21" customHeight="1" thickBot="1" x14ac:dyDescent="0.25">
      <c r="A100" s="24">
        <v>3</v>
      </c>
      <c r="B100" s="25" t="s">
        <v>298</v>
      </c>
      <c r="C100" s="18" t="s">
        <v>19</v>
      </c>
      <c r="D100" s="18" t="s">
        <v>36</v>
      </c>
      <c r="E100" s="18" t="s">
        <v>27</v>
      </c>
      <c r="F100" s="18" t="s">
        <v>299</v>
      </c>
      <c r="G100" s="18" t="s">
        <v>300</v>
      </c>
      <c r="H100" s="35">
        <v>20260414</v>
      </c>
      <c r="I100" s="15" t="e">
        <f t="shared" si="10"/>
        <v>#N/A</v>
      </c>
      <c r="J100" s="15" t="e">
        <f t="shared" si="11"/>
        <v>#N/A</v>
      </c>
      <c r="K100" s="15"/>
      <c r="L100" s="20" t="e">
        <f t="shared" si="12"/>
        <v>#N/A</v>
      </c>
      <c r="M100" s="21" t="str">
        <f t="shared" si="8"/>
        <v>https://webagentes.canaldirecto.com.ar/incidents/view/829964-6</v>
      </c>
      <c r="N100" s="21" t="str">
        <f t="shared" si="9"/>
        <v>https://webagentes.canaldirecto.com.ar/incidents/view/829964-6</v>
      </c>
      <c r="O100" s="21"/>
      <c r="P100" s="22"/>
    </row>
    <row r="101" spans="1:16" s="23" customFormat="1" ht="21" customHeight="1" thickBot="1" x14ac:dyDescent="0.25">
      <c r="A101" s="24">
        <v>3</v>
      </c>
      <c r="B101" s="25" t="s">
        <v>301</v>
      </c>
      <c r="C101" s="18" t="s">
        <v>19</v>
      </c>
      <c r="D101" s="18" t="s">
        <v>36</v>
      </c>
      <c r="E101" s="18" t="s">
        <v>27</v>
      </c>
      <c r="F101" s="18" t="s">
        <v>302</v>
      </c>
      <c r="G101" s="18" t="s">
        <v>303</v>
      </c>
      <c r="H101" s="35">
        <v>20260414</v>
      </c>
      <c r="I101" s="15" t="str">
        <f t="shared" si="10"/>
        <v>Caucete</v>
      </c>
      <c r="J101" s="15">
        <f t="shared" si="11"/>
        <v>60.3</v>
      </c>
      <c r="K101" s="15"/>
      <c r="L101" s="20" t="str">
        <f t="shared" si="12"/>
        <v>https://www.google.com/maps/dir/Catamarca+Sur+664,+San+Juan/Escuela+Hipolito+Vieytes,+Juan+Jos%C3%A9+Bustos,+Caucete,+San+Juan/Catamarca+Sur+664,+San+Juan/@-31.5881673,-68.482172,19739m/data=!3m2!1e3!4b1!4m20!4m19!1m5!1m1!1s0x9681402690dd76eb:0x4b283f8fe10ce3f3!2m2!1d-68.5293761!2d-31.5426363!1m5!1m1!1s0x96810f9abfe1b8d7:0x13223c4e8b1e5b9c!2m2!1d-68.2683786!2d-31.6279133!1m5!1m1!1s0x9681402690dd76eb:0x4b283f8fe10ce3f3!2m2!1d-68.5293761!2d-31.5426363!3e0?hl=es&amp;entry=ttu&amp;g_ep=EgoyMDI1MDgxMy4wIKXMDSoASAFQAw%3D%3D</v>
      </c>
      <c r="M101" s="21" t="str">
        <f t="shared" si="8"/>
        <v>https://webagentes.canaldirecto.com.ar/incidents/view/829963-7</v>
      </c>
      <c r="N101" s="21" t="str">
        <f t="shared" si="9"/>
        <v>https://webagentes.canaldirecto.com.ar/incidents/view/829963-7</v>
      </c>
      <c r="O101" s="21"/>
      <c r="P101" s="22"/>
    </row>
    <row r="102" spans="1:16" s="23" customFormat="1" ht="21" customHeight="1" thickBot="1" x14ac:dyDescent="0.25">
      <c r="A102" s="24">
        <v>3</v>
      </c>
      <c r="B102" s="25" t="s">
        <v>304</v>
      </c>
      <c r="C102" s="18" t="s">
        <v>19</v>
      </c>
      <c r="D102" s="18" t="s">
        <v>36</v>
      </c>
      <c r="E102" s="18" t="s">
        <v>27</v>
      </c>
      <c r="F102" s="18" t="s">
        <v>305</v>
      </c>
      <c r="G102" s="18" t="s">
        <v>306</v>
      </c>
      <c r="H102" s="35">
        <v>20260414</v>
      </c>
      <c r="I102" s="15" t="str">
        <f t="shared" si="10"/>
        <v>Capital</v>
      </c>
      <c r="J102" s="15">
        <f t="shared" si="11"/>
        <v>6</v>
      </c>
      <c r="K102" s="15"/>
      <c r="L102" s="20" t="str">
        <f t="shared" si="12"/>
        <v>https://www.google.com/maps/dir/Catamarca+Sur+664,+San+Juan/Centro+Polivalente+de+Arte,+Gral+Mariano+Acha+Sur+1896,+J5402+San+Juan/@-31.5504492,-68.5360821,2468m/data=!3m2!1e3!4b1!4m14!4m13!1m5!1m1!1s0x9681402690dd76eb:0x4b283f8fe10ce3f3!2m2!1d-68.5293761!2d-31.5426363!1m5!1m1!1s0x96816aa7d2644013:0x3190daeafeaa218c!2m2!1d-68.521864!2d-31.5585661!3e0?entry=ttu&amp;g_ep=EgoyMDI1MDYxNy4wIKXMDSoASAFQAw%3D%3D</v>
      </c>
      <c r="M102" s="21" t="str">
        <f t="shared" si="8"/>
        <v>https://webagentes.canaldirecto.com.ar/incidents/view/829962-8</v>
      </c>
      <c r="N102" s="21" t="str">
        <f t="shared" si="9"/>
        <v>https://webagentes.canaldirecto.com.ar/incidents/view/829962-8</v>
      </c>
      <c r="O102" s="21"/>
      <c r="P102" s="22"/>
    </row>
    <row r="103" spans="1:16" s="23" customFormat="1" ht="21" customHeight="1" thickBot="1" x14ac:dyDescent="0.25">
      <c r="A103" s="24">
        <v>3</v>
      </c>
      <c r="B103" s="25" t="s">
        <v>307</v>
      </c>
      <c r="C103" s="18" t="s">
        <v>19</v>
      </c>
      <c r="D103" s="18" t="s">
        <v>36</v>
      </c>
      <c r="E103" s="18" t="s">
        <v>27</v>
      </c>
      <c r="F103" s="18" t="s">
        <v>308</v>
      </c>
      <c r="G103" s="18" t="s">
        <v>309</v>
      </c>
      <c r="H103" s="35">
        <v>20260414</v>
      </c>
      <c r="I103" s="15" t="str">
        <f t="shared" si="10"/>
        <v>Capital</v>
      </c>
      <c r="J103" s="15">
        <f t="shared" si="11"/>
        <v>6</v>
      </c>
      <c r="K103" s="15"/>
      <c r="L103" s="20" t="str">
        <f t="shared" si="12"/>
        <v>https://www.google.com/maps/dir/Catamarca+Sur+664,+San+Juan/Centro+Polivalente+de+Arte,+Gral+Mariano+Acha+Sur+1896,+J5402+San+Juan/@-31.5504492,-68.5360821,2468m/data=!3m2!1e3!4b1!4m14!4m13!1m5!1m1!1s0x9681402690dd76eb:0x4b283f8fe10ce3f3!2m2!1d-68.5293761!2d-31.5426363!1m5!1m1!1s0x96816aa7d2644013:0x3190daeafeaa218c!2m2!1d-68.521864!2d-31.5585661!3e0?entry=ttu&amp;g_ep=EgoyMDI1MDYxNy4wIKXMDSoASAFQAw%3D%3D</v>
      </c>
      <c r="M103" s="21" t="str">
        <f t="shared" si="8"/>
        <v>https://webagentes.canaldirecto.com.ar/incidents/view/829961-9</v>
      </c>
      <c r="N103" s="21" t="str">
        <f t="shared" si="9"/>
        <v>https://webagentes.canaldirecto.com.ar/incidents/view/829961-9</v>
      </c>
      <c r="O103" s="21"/>
      <c r="P103" s="22"/>
    </row>
    <row r="104" spans="1:16" s="23" customFormat="1" ht="21" customHeight="1" thickBot="1" x14ac:dyDescent="0.25">
      <c r="A104" s="24">
        <v>3</v>
      </c>
      <c r="B104" s="25" t="s">
        <v>310</v>
      </c>
      <c r="C104" s="18" t="s">
        <v>19</v>
      </c>
      <c r="D104" s="18" t="s">
        <v>36</v>
      </c>
      <c r="E104" s="18" t="s">
        <v>27</v>
      </c>
      <c r="F104" s="18" t="s">
        <v>311</v>
      </c>
      <c r="G104" s="18" t="s">
        <v>312</v>
      </c>
      <c r="H104" s="35">
        <v>20260414</v>
      </c>
      <c r="I104" s="15" t="str">
        <f t="shared" si="10"/>
        <v>Capital</v>
      </c>
      <c r="J104" s="15">
        <f t="shared" si="11"/>
        <v>6</v>
      </c>
      <c r="K104" s="15"/>
      <c r="L104" s="20" t="str">
        <f t="shared" si="12"/>
        <v>https://www.google.com/maps/dir/Catamarca+Sur+664,+San+Juan/Colegio+Provincial+De+La+Capital,+y,+Av.+Espa%C3%B1a+Sur,+J5402+San+Juan/@-31.5480585,-68.5389348,2468m/data=!3m2!1e3!4b1!4m14!4m13!1m5!1m1!1s0x9681402690dd76eb:0x4b283f8fe10ce3f3!2m2!1d-68.5293761!2d-31.5426363!1m5!1m1!1s0x96814018f0243eaf:0x8153012404ea9305!2m2!1d-68.5327243!2d-31.5524219!3e0?entry=ttu&amp;g_ep=EgoyMDI1MDYyOS4wIKXMDSoASAFQAw%3D%3D</v>
      </c>
      <c r="M104" s="21" t="str">
        <f t="shared" si="8"/>
        <v>https://webagentes.canaldirecto.com.ar/incidents/view/829960-0</v>
      </c>
      <c r="N104" s="21" t="str">
        <f t="shared" si="9"/>
        <v>https://webagentes.canaldirecto.com.ar/incidents/view/829960-0</v>
      </c>
      <c r="O104" s="21"/>
      <c r="P104" s="22"/>
    </row>
    <row r="105" spans="1:16" s="23" customFormat="1" ht="21" customHeight="1" thickBot="1" x14ac:dyDescent="0.25">
      <c r="A105" s="24">
        <v>3</v>
      </c>
      <c r="B105" s="25" t="s">
        <v>313</v>
      </c>
      <c r="C105" s="18" t="s">
        <v>19</v>
      </c>
      <c r="D105" s="18" t="s">
        <v>36</v>
      </c>
      <c r="E105" s="18" t="s">
        <v>27</v>
      </c>
      <c r="F105" s="18" t="s">
        <v>314</v>
      </c>
      <c r="G105" s="18" t="s">
        <v>315</v>
      </c>
      <c r="H105" s="35">
        <v>20260414</v>
      </c>
      <c r="I105" s="15" t="str">
        <f t="shared" si="10"/>
        <v>Capital</v>
      </c>
      <c r="J105" s="15">
        <f t="shared" si="11"/>
        <v>4</v>
      </c>
      <c r="K105" s="15"/>
      <c r="L105" s="20" t="str">
        <f t="shared" si="12"/>
        <v>https://www.google.com/maps/dir/Catamarca+Sur+664,+San+Juan/Colegio+Provincial+De+La+Capital,+y,+Av.+Espa%C3%B1a+Sur,+J5402+San+Juan/@-31.5480585,-68.5389371,2468m/data=!3m2!1e3!4b1!4m14!4m13!1m5!1m1!1s0x9681402690dd76eb:0x4b283f8fe10ce3f3!2m2!1d-68.5293761!2d-31.5426363!1m5!1m1!1s0x96814018f0243eaf:0x8153012404ea9305!2m2!1d-68.5327243!2d-31.5524219!3e0?entry=ttu&amp;g_ep=EgoyMDI1MDYyOS4wIKXMDSoASAFQAw%3D%3D</v>
      </c>
      <c r="M105" s="21" t="str">
        <f t="shared" si="8"/>
        <v>https://webagentes.canaldirecto.com.ar/incidents/view/829959-4</v>
      </c>
      <c r="N105" s="21" t="str">
        <f t="shared" si="9"/>
        <v>https://webagentes.canaldirecto.com.ar/incidents/view/829959-4</v>
      </c>
      <c r="O105" s="21"/>
      <c r="P105" s="22"/>
    </row>
    <row r="106" spans="1:16" s="23" customFormat="1" ht="21" customHeight="1" thickBot="1" x14ac:dyDescent="0.25">
      <c r="A106" s="24">
        <v>3</v>
      </c>
      <c r="B106" s="25" t="s">
        <v>316</v>
      </c>
      <c r="C106" s="18" t="s">
        <v>19</v>
      </c>
      <c r="D106" s="18" t="s">
        <v>36</v>
      </c>
      <c r="E106" s="18" t="s">
        <v>27</v>
      </c>
      <c r="F106" s="18" t="s">
        <v>299</v>
      </c>
      <c r="G106" s="18" t="s">
        <v>317</v>
      </c>
      <c r="H106" s="35">
        <v>20260414</v>
      </c>
      <c r="I106" s="15" t="str">
        <f t="shared" si="10"/>
        <v>Capital</v>
      </c>
      <c r="J106" s="15">
        <f t="shared" si="11"/>
        <v>5.0999999999999996</v>
      </c>
      <c r="K106" s="15"/>
      <c r="L106" s="20" t="str">
        <f t="shared" si="12"/>
        <v>https://www.google.com/maps/dir/Catamarca+Sur+664,+San+Juan/Escuela+Laprida,+J5400AMN,+San+Luis+602-700,+J5400AMN+San+Juan/Catamarca+Sur+664,+San+Juan/@-31.537113,-68.5333169,2469m/data=!3m2!1e3!4b1!4m20!4m19!1m5!1m1!1s0x9681402690dd76eb:0x4b283f8fe10ce3f3!2m2!1d-68.5293623!2d-31.542635!1m5!1m1!1s0x96816a843ee65a33:0xbb8db7323deb695c!2m2!1d-68.5170151!2d-31.5321299!1m5!1m1!1s0x9681402690dd76eb:0x4b283f8fe10ce3f3!2m2!1d-68.5293623!2d-31.542635!3e0?hl=es&amp;entry=ttu&amp;g_ep=EgoyMDI1MDgxOS4wIKXMDSoASAFQAw%3D%3D</v>
      </c>
      <c r="M106" s="21" t="str">
        <f t="shared" si="8"/>
        <v>https://webagentes.canaldirecto.com.ar/incidents/view/829958-5</v>
      </c>
      <c r="N106" s="21" t="str">
        <f t="shared" si="9"/>
        <v>https://webagentes.canaldirecto.com.ar/incidents/view/829958-5</v>
      </c>
      <c r="O106" s="21"/>
      <c r="P106" s="22"/>
    </row>
    <row r="107" spans="1:16" s="23" customFormat="1" ht="21" customHeight="1" thickBot="1" x14ac:dyDescent="0.25">
      <c r="A107" s="16">
        <v>2</v>
      </c>
      <c r="B107" s="17" t="s">
        <v>318</v>
      </c>
      <c r="C107" s="18" t="s">
        <v>19</v>
      </c>
      <c r="D107" s="18" t="s">
        <v>36</v>
      </c>
      <c r="E107" s="18" t="s">
        <v>27</v>
      </c>
      <c r="F107" s="18" t="s">
        <v>319</v>
      </c>
      <c r="G107" s="18" t="s">
        <v>320</v>
      </c>
      <c r="H107" s="35">
        <v>20260414</v>
      </c>
      <c r="I107" s="15" t="str">
        <f t="shared" si="10"/>
        <v>Capital</v>
      </c>
      <c r="J107" s="15">
        <f t="shared" si="11"/>
        <v>3</v>
      </c>
      <c r="K107" s="15"/>
      <c r="L107" s="20" t="str">
        <f t="shared" si="12"/>
        <v>https://www.google.com/maps/dir/Catamarca+Sur+664,+San+Juan/Jard%C3%ADn+de+Infantes+Bienvenida+Sarmiento,+Francisco+N.+Laprida+Oeste+440,+J5402+San+Juan/Catamarca+Sur+664,+San+Juan/@-31.5401289,-68.5373881,1234m/data=!3m2!1e3!4b1!4m20!4m19!1m5!1m1!1s0x9681402690dd76eb:0x4b283f8fe10ce3f3!2m2!1d-68.5293761!2d-31.5426363!1m5!1m1!1s0x9681414b6bbc969f:0xee2a607289025915!2m2!1d-68.5324694!2d-31.53578!1m5!1m1!1s0x9681402690dd76eb:0x4b283f8fe10ce3f3!2m2!1d-68.5293761!2d-31.5426363!3e0?entry=ttu&amp;g_ep=EgoyMDI1MDgxMy4wIKXMDSoASAFQAw%3D%3D</v>
      </c>
      <c r="M107" s="21" t="str">
        <f t="shared" si="8"/>
        <v>https://webagentes.canaldirecto.com.ar/incidents/view/829957-6</v>
      </c>
      <c r="N107" s="21" t="str">
        <f t="shared" si="9"/>
        <v>https://webagentes.canaldirecto.com.ar/incidents/view/829957-6</v>
      </c>
      <c r="O107" s="21"/>
      <c r="P107" s="22"/>
    </row>
    <row r="108" spans="1:16" s="23" customFormat="1" ht="21" customHeight="1" thickBot="1" x14ac:dyDescent="0.25">
      <c r="A108" s="16">
        <v>2</v>
      </c>
      <c r="B108" s="17" t="s">
        <v>321</v>
      </c>
      <c r="C108" s="18" t="s">
        <v>19</v>
      </c>
      <c r="D108" s="18" t="s">
        <v>36</v>
      </c>
      <c r="E108" s="18" t="s">
        <v>27</v>
      </c>
      <c r="F108" s="18" t="s">
        <v>322</v>
      </c>
      <c r="G108" s="18" t="s">
        <v>323</v>
      </c>
      <c r="H108" s="35">
        <v>20260414</v>
      </c>
      <c r="I108" s="15" t="str">
        <f t="shared" si="10"/>
        <v>Capital</v>
      </c>
      <c r="J108" s="15">
        <f t="shared" si="11"/>
        <v>3</v>
      </c>
      <c r="K108" s="15"/>
      <c r="L108" s="20" t="str">
        <f t="shared" si="12"/>
        <v>https://www.google.com/maps/dir/Catamarca+Sur+664,+San+Juan/ISFD+Escuela+Normal+Superior+Sarmiento,+Santiago+del+Estero+Sur,+J5402+San+Juan/Catamarca+Sur+664,+San+Juan/@-31.540165,-68.5373812,1234m/data=!3m2!1e3!4b1!4m20!4m19!1m5!1m1!1s0x9681402690dd76eb:0x4b283f8fe10ce3f3!2m2!1d-68.5293623!2d-31.542635!1m5!1m1!1s0x968141c7616d4cef:0xe0421ce0356c4fb0!2m2!1d-68.5330613!2d-31.5358522!1m5!1m1!1s0x9681402690dd76eb:0x4b283f8fe10ce3f3!2m2!1d-68.5293623!2d-31.542635!3e0?hl=es&amp;entry=ttu&amp;g_ep=EgoyMDI1MDgyNS4wIKXMDSoASAFQAw%3D%3D</v>
      </c>
      <c r="M108" s="21" t="str">
        <f t="shared" si="8"/>
        <v>https://webagentes.canaldirecto.com.ar/incidents/view/829956-7</v>
      </c>
      <c r="N108" s="21" t="str">
        <f t="shared" si="9"/>
        <v>https://webagentes.canaldirecto.com.ar/incidents/view/829956-7</v>
      </c>
      <c r="O108" s="21"/>
      <c r="P108" s="22"/>
    </row>
    <row r="109" spans="1:16" s="23" customFormat="1" ht="21" customHeight="1" thickBot="1" x14ac:dyDescent="0.25">
      <c r="A109" s="24">
        <v>3</v>
      </c>
      <c r="B109" s="25" t="s">
        <v>324</v>
      </c>
      <c r="C109" s="18" t="s">
        <v>19</v>
      </c>
      <c r="D109" s="18" t="s">
        <v>20</v>
      </c>
      <c r="E109" s="18" t="s">
        <v>27</v>
      </c>
      <c r="F109" s="18" t="s">
        <v>164</v>
      </c>
      <c r="G109" s="18" t="s">
        <v>165</v>
      </c>
      <c r="H109" s="35">
        <v>20260414</v>
      </c>
      <c r="I109" s="15" t="str">
        <f t="shared" si="10"/>
        <v>RAWSON</v>
      </c>
      <c r="J109" s="15">
        <f t="shared" si="11"/>
        <v>11.4</v>
      </c>
      <c r="K109" s="15"/>
      <c r="L109" s="20" t="str">
        <f t="shared" si="12"/>
        <v>https://www.google.com/maps/dir/Catamarca+Sur+664,+San+Juan/Escuela+San+Juan+Eudes,+Bah%C3%ADa+Blanca+Sur,+J5425+Villa+Krause,+San+Juan/Catamarca+Sur+664,+San+Juan/@-31.5558264,-68.5657451,4937m/data=!3m1!1e3!4m20!4m19!1m5!1m1!1s0x9681402690dd76eb:0x4b283f8fe10ce3f3!2m2!1d-68.5293623!2d-31.542635!1m5!1m1!1s0x9681412b2e33eae9:0xe137e7c260821fa4!2m2!1d-68.5622502!2d-31.5631841!1m5!1m1!1s0x9681402690dd76eb:0x4b283f8fe10ce3f3!2m2!1d-68.5293623!2d-31.542635!3e0?hl=es&amp;entry=ttu&amp;g_ep=EgoyMDI1MDgxOS4wIKXMDSoASAFQAw%3D%3D</v>
      </c>
      <c r="M109" s="21" t="str">
        <f t="shared" si="8"/>
        <v>https://webagentes.canaldirecto.com.ar/incidents/view/829704-6</v>
      </c>
      <c r="N109" s="21" t="str">
        <f t="shared" si="9"/>
        <v>https://webagentes.canaldirecto.com.ar/incidents/view/829704-6</v>
      </c>
      <c r="O109" s="21"/>
      <c r="P109" s="22"/>
    </row>
    <row r="110" spans="1:16" s="23" customFormat="1" ht="21" customHeight="1" thickBot="1" x14ac:dyDescent="0.25">
      <c r="A110" s="28">
        <v>1</v>
      </c>
      <c r="B110" s="29" t="s">
        <v>325</v>
      </c>
      <c r="C110" s="18" t="s">
        <v>19</v>
      </c>
      <c r="D110" s="18" t="s">
        <v>20</v>
      </c>
      <c r="E110" s="18" t="s">
        <v>27</v>
      </c>
      <c r="F110" s="18" t="s">
        <v>326</v>
      </c>
      <c r="G110" s="18" t="s">
        <v>327</v>
      </c>
      <c r="H110" s="35">
        <v>20260414</v>
      </c>
      <c r="I110" s="15" t="str">
        <f t="shared" si="10"/>
        <v>Iglesia</v>
      </c>
      <c r="J110" s="15">
        <f t="shared" si="11"/>
        <v>344</v>
      </c>
      <c r="K110" s="15"/>
      <c r="L110" s="20" t="str">
        <f t="shared" si="12"/>
        <v>https://www.google.com/maps/dir/Catamarca+Sur+664,+San+Juan/Escuela+Yapeyu,+Iglesia,+San+Juan/Catamarca+Sur+664,+San+Juan/@-30.9777014,-69.522509,158940m/data=!3m2!1e3!4b1!4m20!4m19!1m5!1m1!1s0x9681402690dd76eb:0x4b283f8fe10ce3f3!2m2!1d-68.5293761!2d-31.5426363!1m5!1m1!1s0x968493b1571e47c5:0x81d98aefeaafccc6!2m2!1d-69.222758!2d-30.4143137!1m5!1m1!1s0x9681402690dd76eb:0x4b283f8fe10ce3f3!2m2!1d-68.5293761!2d-31.5426363!3e0?entry=ttu&amp;g_ep=EgoyMDI1MDgxMy4wIKXMDSoASAFQAw%3D%3D</v>
      </c>
      <c r="M110" s="21" t="str">
        <f t="shared" si="8"/>
        <v>https://webagentes.canaldirecto.com.ar/incidents/view/828572-2</v>
      </c>
      <c r="N110" s="21" t="str">
        <f t="shared" si="9"/>
        <v>https://webagentes.canaldirecto.com.ar/incidents/view/828572-2</v>
      </c>
      <c r="O110" s="21"/>
      <c r="P110" s="22"/>
    </row>
    <row r="111" spans="1:16" s="23" customFormat="1" ht="21" customHeight="1" thickBot="1" x14ac:dyDescent="0.25">
      <c r="A111" s="28">
        <v>1</v>
      </c>
      <c r="B111" s="29" t="s">
        <v>328</v>
      </c>
      <c r="C111" s="18" t="s">
        <v>19</v>
      </c>
      <c r="D111" s="18" t="s">
        <v>20</v>
      </c>
      <c r="E111" s="18" t="s">
        <v>27</v>
      </c>
      <c r="F111" s="18" t="s">
        <v>329</v>
      </c>
      <c r="G111" s="18" t="s">
        <v>330</v>
      </c>
      <c r="H111" s="35">
        <v>20260414</v>
      </c>
      <c r="I111" s="15" t="str">
        <f t="shared" si="10"/>
        <v>Iglesia</v>
      </c>
      <c r="J111" s="15">
        <f t="shared" si="11"/>
        <v>396</v>
      </c>
      <c r="K111" s="15">
        <v>396</v>
      </c>
      <c r="L111" s="20" t="str">
        <f t="shared" si="12"/>
        <v>google.com/maps/dir/Catamarca+Sur,+San+Juan/Laprida,+Rodeo,+San+Juan/Catamarca+Sur,+San+Juan/@-30.875538,-69.7445091,210498m/data=!3m1!1e3!4m20!4m19!1m5!1m1!1s0x968140269756b7e1:0x3c38eb6d66eb45d!2m2!1d-68.5295918!2d-31.5427459!1m5!1m1!1s0x9684bcf6137b4fa5:0xb9f29735094443d8!2m2!1d-69.1434313!2d-30.2151474!1m5!1m1!1s0x968140269756b7e1:0x3c38eb6d66eb45d!2m2!1d-68.5295918!2d-31.5427459!3e0?hl=es&amp;entry=ttu&amp;g_ep=EgoyMDI1MTAwOC4wIKXMDSoASAFQAw%3D%3D</v>
      </c>
      <c r="M111" s="21" t="str">
        <f t="shared" si="8"/>
        <v>https://webagentes.canaldirecto.com.ar/incidents/view/828401-5</v>
      </c>
      <c r="N111" s="21" t="str">
        <f t="shared" si="9"/>
        <v>https://webagentes.canaldirecto.com.ar/incidents/view/828401-5</v>
      </c>
      <c r="O111" s="21"/>
      <c r="P111" s="22"/>
    </row>
    <row r="112" spans="1:16" s="23" customFormat="1" ht="21" customHeight="1" thickBot="1" x14ac:dyDescent="0.25">
      <c r="A112" s="16">
        <v>2</v>
      </c>
      <c r="B112" s="17" t="s">
        <v>331</v>
      </c>
      <c r="C112" s="18" t="s">
        <v>19</v>
      </c>
      <c r="D112" s="18" t="s">
        <v>36</v>
      </c>
      <c r="E112" s="18" t="s">
        <v>27</v>
      </c>
      <c r="F112" s="18" t="s">
        <v>332</v>
      </c>
      <c r="G112" s="18" t="s">
        <v>333</v>
      </c>
      <c r="H112" s="36">
        <v>20260415</v>
      </c>
      <c r="I112" s="15" t="str">
        <f t="shared" si="10"/>
        <v>Capital</v>
      </c>
      <c r="J112" s="15">
        <f t="shared" si="11"/>
        <v>6</v>
      </c>
      <c r="K112" s="15"/>
      <c r="L112" s="20" t="str">
        <f t="shared" si="12"/>
        <v>https://www.google.com/maps/dir/Catamarca+Sur+664,+San+Juan/Escuela+Manuel+Belgrano,+Salvador+Mar%C3%ADa+del+Carril+Norte,+Av.+Circunvalaci%C3%B3n+%26,+San+Juan/@-31.53125,-68.5533285,4938m/data=!3m2!1e3!4b1!4m14!4m13!1m5!1m1!1s0x9681402690dd76eb:0x4b283f8fe10ce3f3!2m2!1d-68.5293761!2d-31.5426363!1m5!1m1!1s0x96814179a2ca919f:0xd824f501e0f6f76e!2m2!1d-68.5339368!2d-31.5199408!3e0?entry=ttu&amp;g_ep=EgoyMDI1MDYxNy4wIKXMDSoASAFQAw%3D%3D</v>
      </c>
      <c r="M112" s="21" t="str">
        <f t="shared" si="8"/>
        <v>https://webagentes.canaldirecto.com.ar/incidents/view/830052-6</v>
      </c>
      <c r="N112" s="21" t="str">
        <f t="shared" si="9"/>
        <v>https://webagentes.canaldirecto.com.ar/incidents/view/830052-6</v>
      </c>
      <c r="O112" s="21"/>
      <c r="P112" s="22"/>
    </row>
    <row r="113" spans="1:16" s="23" customFormat="1" ht="21" customHeight="1" thickBot="1" x14ac:dyDescent="0.25">
      <c r="A113" s="16">
        <v>2</v>
      </c>
      <c r="B113" s="17" t="s">
        <v>334</v>
      </c>
      <c r="C113" s="18" t="s">
        <v>19</v>
      </c>
      <c r="D113" s="18" t="s">
        <v>36</v>
      </c>
      <c r="E113" s="18" t="s">
        <v>27</v>
      </c>
      <c r="F113" s="18" t="s">
        <v>335</v>
      </c>
      <c r="G113" s="18" t="s">
        <v>336</v>
      </c>
      <c r="H113" s="36">
        <v>20260415</v>
      </c>
      <c r="I113" s="15" t="str">
        <f t="shared" si="10"/>
        <v>Capital</v>
      </c>
      <c r="J113" s="15">
        <f t="shared" si="11"/>
        <v>8</v>
      </c>
      <c r="K113" s="15"/>
      <c r="L113" s="20" t="str">
        <f t="shared" si="12"/>
        <v>https://www.google.com/maps/dir/Catamarca+Sur+664,+San+Juan/Escuela+Teniente+Primero+Francisco+Ib%C3%A1%C3%B1ez,+Tucum%C3%A1n+Norte+1633,+J5400+San+Juan/@-31.528596,-68.5496037,4938m/data=!3m2!1e3!4b1!4m14!4m13!1m5!1m1!1s0x9681402690dd76eb:0x4b283f8fe10ce3f3!2m2!1d-68.5293761!2d-31.5426363!1m5!1m1!1s0x96816a780409baed:0x2060159593db3a79!2m2!1d-68.5243129!2d-31.5146116!3e0?hl=es&amp;entry=ttu&amp;g_ep=EgoyMDI1MDYyOS4wIKXMDSoASAFQAw%3D%3D</v>
      </c>
      <c r="M113" s="21" t="str">
        <f t="shared" si="8"/>
        <v>https://webagentes.canaldirecto.com.ar/incidents/view/830051-7</v>
      </c>
      <c r="N113" s="21" t="str">
        <f t="shared" si="9"/>
        <v>https://webagentes.canaldirecto.com.ar/incidents/view/830051-7</v>
      </c>
      <c r="O113" s="21"/>
      <c r="P113" s="22"/>
    </row>
    <row r="114" spans="1:16" s="23" customFormat="1" ht="21" customHeight="1" thickBot="1" x14ac:dyDescent="0.25">
      <c r="A114" s="16">
        <v>2</v>
      </c>
      <c r="B114" s="17" t="s">
        <v>337</v>
      </c>
      <c r="C114" s="18" t="s">
        <v>19</v>
      </c>
      <c r="D114" s="18" t="s">
        <v>36</v>
      </c>
      <c r="E114" s="18" t="s">
        <v>27</v>
      </c>
      <c r="F114" s="18" t="s">
        <v>338</v>
      </c>
      <c r="G114" s="18" t="s">
        <v>339</v>
      </c>
      <c r="H114" s="36">
        <v>20260415</v>
      </c>
      <c r="I114" s="15" t="str">
        <f t="shared" si="10"/>
        <v>Capital</v>
      </c>
      <c r="J114" s="15">
        <f t="shared" si="11"/>
        <v>7.1</v>
      </c>
      <c r="K114" s="15"/>
      <c r="L114" s="20" t="str">
        <f t="shared" si="12"/>
        <v>https://www.google.com/maps/dir/Catamarca+Sur+664,+San+Juan/Escuela+Esteban+Echeverria,+Av.+Circunvalaci%C3%B3n,+J5400+San+Juan/Catamarca+Sur+664,+San+Juan/@-31.5313426,-68.5537872,4938m/data=!3m2!1e3!4b1!4m20!4m19!1m5!1m1!1s0x9681402690dd76eb:0x4b283f8fe10ce3f3!2m2!1d-68.5293761!2d-31.5426363!1m5!1m1!1s0x9681415f107e8a8f:0x7704bbdd05471f05!2m2!1d-68.5364703!2d-31.5194379!1m5!1m1!1s0x9681402690dd76eb:0x4b283f8fe10ce3f3!2m2!1d-68.5293761!2d-31.5426363!3e0?hl=es&amp;entry=ttu&amp;g_ep=EgoyMDI1MDgxMy4wIKXMDSoASAFQAw%3D%3D</v>
      </c>
      <c r="M114" s="21" t="str">
        <f t="shared" si="8"/>
        <v>https://webagentes.canaldirecto.com.ar/incidents/view/830050-8</v>
      </c>
      <c r="N114" s="21" t="str">
        <f t="shared" si="9"/>
        <v>https://webagentes.canaldirecto.com.ar/incidents/view/830050-8</v>
      </c>
      <c r="O114" s="21"/>
      <c r="P114" s="22"/>
    </row>
    <row r="115" spans="1:16" s="23" customFormat="1" ht="21" customHeight="1" thickBot="1" x14ac:dyDescent="0.25">
      <c r="A115" s="16">
        <v>2</v>
      </c>
      <c r="B115" s="17" t="s">
        <v>340</v>
      </c>
      <c r="C115" s="18" t="s">
        <v>19</v>
      </c>
      <c r="D115" s="18" t="s">
        <v>36</v>
      </c>
      <c r="E115" s="18" t="s">
        <v>27</v>
      </c>
      <c r="F115" s="18" t="s">
        <v>341</v>
      </c>
      <c r="G115" s="18" t="s">
        <v>342</v>
      </c>
      <c r="H115" s="36">
        <v>20260415</v>
      </c>
      <c r="I115" s="15" t="str">
        <f t="shared" si="10"/>
        <v>Capital</v>
      </c>
      <c r="J115" s="15">
        <f t="shared" si="11"/>
        <v>8</v>
      </c>
      <c r="K115" s="15"/>
      <c r="L115" s="20" t="str">
        <f t="shared" si="12"/>
        <v>https://www.google.com/maps/dir/Catamarca+Sur+664,+San+Juan/-31.5113643,-68.5293793/@-31.5269091,-68.5493955,4938m/data=!3m2!1e3!4b1!4m9!4m8!1m5!1m1!1s0x9681402690dd76eb:0x4b283f8fe10ce3f3!2m2!1d-68.5293761!2d-31.5426363!1m0!3e0?hl=es&amp;entry=ttu&amp;g_ep=EgoyMDI1MDYxNy4wIKXMDSoASAFQAw%3D%3D</v>
      </c>
      <c r="M115" s="21" t="str">
        <f t="shared" si="8"/>
        <v>https://webagentes.canaldirecto.com.ar/incidents/view/830049-2</v>
      </c>
      <c r="N115" s="21" t="str">
        <f t="shared" si="9"/>
        <v>https://webagentes.canaldirecto.com.ar/incidents/view/830049-2</v>
      </c>
      <c r="O115" s="21"/>
      <c r="P115" s="22"/>
    </row>
    <row r="116" spans="1:16" s="23" customFormat="1" ht="21" customHeight="1" thickBot="1" x14ac:dyDescent="0.25">
      <c r="A116" s="34">
        <v>4</v>
      </c>
      <c r="B116" s="19" t="s">
        <v>343</v>
      </c>
      <c r="C116" s="18" t="s">
        <v>19</v>
      </c>
      <c r="D116" s="18" t="s">
        <v>20</v>
      </c>
      <c r="E116" s="18" t="s">
        <v>27</v>
      </c>
      <c r="F116" s="18" t="s">
        <v>344</v>
      </c>
      <c r="G116" s="18" t="s">
        <v>345</v>
      </c>
      <c r="H116" s="36">
        <v>20260415</v>
      </c>
      <c r="I116" s="15" t="str">
        <f t="shared" si="10"/>
        <v>VALLE FERTIL</v>
      </c>
      <c r="J116" s="15">
        <f t="shared" si="11"/>
        <v>505</v>
      </c>
      <c r="K116" s="15">
        <v>505</v>
      </c>
      <c r="L116" s="20" t="str">
        <f t="shared" si="12"/>
        <v>https://www.google.com/maps/dir/Catamarca+Sur+664,+San+Juan/-30.7665756,-67.4744075/Catamarca+Sur+664,+San+Juan/@-31.2320989,-68.5303569,158515m/data=!3m2!1e3!4b1!4m15!4m14!1m5!1m1!1s0x9681402690dd76eb:0x4b283f8fe10ce3f3!2m2!1d-68.5293623!2d-31.542635!1m0!1m5!1m1!1s0x9681402690dd76eb:0x4b283f8fe10ce3f3!2m2!1d-68.5293623!2d-31.542635!3e0?hl=es&amp;entry=ttu&amp;g_ep=EgoyMDI1MTAyOS4yIKXMDSoASAFQAw%3D%3D</v>
      </c>
      <c r="M116" s="21" t="str">
        <f t="shared" si="8"/>
        <v>https://webagentes.canaldirecto.com.ar/incidents/view/828110-6</v>
      </c>
      <c r="N116" s="21" t="str">
        <f t="shared" si="9"/>
        <v>https://webagentes.canaldirecto.com.ar/incidents/view/828110-6</v>
      </c>
      <c r="O116" s="21"/>
      <c r="P116" s="22"/>
    </row>
    <row r="117" spans="1:16" s="23" customFormat="1" ht="21" customHeight="1" thickBot="1" x14ac:dyDescent="0.25">
      <c r="A117" s="28">
        <v>1</v>
      </c>
      <c r="B117" s="29" t="s">
        <v>346</v>
      </c>
      <c r="C117" s="18" t="s">
        <v>19</v>
      </c>
      <c r="D117" s="18" t="s">
        <v>36</v>
      </c>
      <c r="E117" s="18" t="s">
        <v>27</v>
      </c>
      <c r="F117" s="18" t="s">
        <v>347</v>
      </c>
      <c r="G117" s="18" t="s">
        <v>348</v>
      </c>
      <c r="H117" s="19">
        <v>20260416</v>
      </c>
      <c r="I117" s="15" t="str">
        <f t="shared" si="10"/>
        <v>Capital</v>
      </c>
      <c r="J117" s="15">
        <f t="shared" si="11"/>
        <v>0</v>
      </c>
      <c r="K117" s="15"/>
      <c r="L117" s="20">
        <f t="shared" si="12"/>
        <v>0</v>
      </c>
      <c r="M117" s="21" t="str">
        <f t="shared" si="8"/>
        <v>https://webagentes.canaldirecto.com.ar/incidents/view/830262-1</v>
      </c>
      <c r="N117" s="21" t="str">
        <f t="shared" si="9"/>
        <v>https://webagentes.canaldirecto.com.ar/incidents/view/830262-1</v>
      </c>
      <c r="O117" s="21"/>
      <c r="P117" s="22"/>
    </row>
    <row r="118" spans="1:16" s="23" customFormat="1" ht="21" customHeight="1" thickBot="1" x14ac:dyDescent="0.25">
      <c r="A118" s="16">
        <v>2</v>
      </c>
      <c r="B118" s="17" t="s">
        <v>349</v>
      </c>
      <c r="C118" s="18" t="s">
        <v>19</v>
      </c>
      <c r="D118" s="18" t="s">
        <v>36</v>
      </c>
      <c r="E118" s="18" t="s">
        <v>27</v>
      </c>
      <c r="F118" s="18" t="s">
        <v>350</v>
      </c>
      <c r="G118" s="18" t="s">
        <v>351</v>
      </c>
      <c r="H118" s="19">
        <v>20260416</v>
      </c>
      <c r="I118" s="15" t="str">
        <f t="shared" si="10"/>
        <v>Capital</v>
      </c>
      <c r="J118" s="15">
        <f t="shared" si="11"/>
        <v>2</v>
      </c>
      <c r="K118" s="15"/>
      <c r="L118" s="20" t="str">
        <f t="shared" si="12"/>
        <v>https://www.google.com/maps/dir/Catamarca+Sur+664,+San+Juan/E.P.E.T.+N%C2%B0+1+Ingeniero+Rogelio+Boero,+Manuel+Belgrano+Este+250,+J5400+San+Juan/@-31.5429554,-68.5284677,617m/data=!3m2!1e3!4b1!4m14!4m13!1m5!1m1!1s0x9681402690dd76eb:0x4b283f8fe10ce3f3!2m2!1d-68.5293761!2d-31.5426363!1m5!1m1!1s0x96816a9ef71351d9:0x55286080dde28bf!2m2!1d-68.5220704!2d-31.5445858!3e0?entry=ttu&amp;g_ep=EgoyMDI1MDYxNy4wIKXMDSoASAFQAw%3D%3D</v>
      </c>
      <c r="M118" s="21" t="str">
        <f t="shared" si="8"/>
        <v>https://webagentes.canaldirecto.com.ar/incidents/view/830261-2</v>
      </c>
      <c r="N118" s="21" t="str">
        <f t="shared" si="9"/>
        <v>https://webagentes.canaldirecto.com.ar/incidents/view/830261-2</v>
      </c>
      <c r="O118" s="21"/>
      <c r="P118" s="22"/>
    </row>
    <row r="119" spans="1:16" s="23" customFormat="1" ht="21" customHeight="1" thickBot="1" x14ac:dyDescent="0.25">
      <c r="A119" s="16">
        <v>2</v>
      </c>
      <c r="B119" s="17" t="s">
        <v>352</v>
      </c>
      <c r="C119" s="18" t="s">
        <v>19</v>
      </c>
      <c r="D119" s="18" t="s">
        <v>36</v>
      </c>
      <c r="E119" s="18" t="s">
        <v>27</v>
      </c>
      <c r="F119" s="18" t="s">
        <v>353</v>
      </c>
      <c r="G119" s="18" t="s">
        <v>354</v>
      </c>
      <c r="H119" s="19">
        <v>20260416</v>
      </c>
      <c r="I119" s="15" t="str">
        <f t="shared" si="10"/>
        <v>Capital</v>
      </c>
      <c r="J119" s="15">
        <f t="shared" si="11"/>
        <v>0</v>
      </c>
      <c r="K119" s="15"/>
      <c r="L119" s="20">
        <f t="shared" si="12"/>
        <v>0</v>
      </c>
      <c r="M119" s="21" t="str">
        <f t="shared" si="8"/>
        <v>https://webagentes.canaldirecto.com.ar/incidents/view/830260-3</v>
      </c>
      <c r="N119" s="21" t="str">
        <f t="shared" si="9"/>
        <v>https://webagentes.canaldirecto.com.ar/incidents/view/830260-3</v>
      </c>
      <c r="O119" s="21"/>
      <c r="P119" s="22"/>
    </row>
    <row r="120" spans="1:16" s="23" customFormat="1" ht="21" customHeight="1" thickBot="1" x14ac:dyDescent="0.25">
      <c r="A120" s="16">
        <v>2</v>
      </c>
      <c r="B120" s="17" t="s">
        <v>355</v>
      </c>
      <c r="C120" s="18" t="s">
        <v>19</v>
      </c>
      <c r="D120" s="18" t="s">
        <v>36</v>
      </c>
      <c r="E120" s="18" t="s">
        <v>27</v>
      </c>
      <c r="F120" s="18" t="s">
        <v>356</v>
      </c>
      <c r="G120" s="18" t="s">
        <v>357</v>
      </c>
      <c r="H120" s="19">
        <v>20260416</v>
      </c>
      <c r="I120" s="15" t="e">
        <f t="shared" si="10"/>
        <v>#N/A</v>
      </c>
      <c r="J120" s="15" t="e">
        <f t="shared" si="11"/>
        <v>#N/A</v>
      </c>
      <c r="K120" s="15"/>
      <c r="L120" s="20" t="e">
        <f t="shared" si="12"/>
        <v>#N/A</v>
      </c>
      <c r="M120" s="21" t="str">
        <f t="shared" si="8"/>
        <v>https://webagentes.canaldirecto.com.ar/incidents/view/830259-7</v>
      </c>
      <c r="N120" s="21" t="str">
        <f t="shared" si="9"/>
        <v>https://webagentes.canaldirecto.com.ar/incidents/view/830259-7</v>
      </c>
      <c r="O120" s="21"/>
      <c r="P120" s="22"/>
    </row>
    <row r="121" spans="1:16" s="23" customFormat="1" ht="21" customHeight="1" thickBot="1" x14ac:dyDescent="0.25">
      <c r="A121" s="16">
        <v>2</v>
      </c>
      <c r="B121" s="17" t="s">
        <v>358</v>
      </c>
      <c r="C121" s="18" t="s">
        <v>19</v>
      </c>
      <c r="D121" s="18" t="s">
        <v>36</v>
      </c>
      <c r="E121" s="18" t="s">
        <v>27</v>
      </c>
      <c r="F121" s="18" t="s">
        <v>359</v>
      </c>
      <c r="G121" s="18" t="s">
        <v>360</v>
      </c>
      <c r="H121" s="19">
        <v>20260416</v>
      </c>
      <c r="I121" s="15" t="str">
        <f t="shared" si="10"/>
        <v>Capital</v>
      </c>
      <c r="J121" s="15">
        <f t="shared" si="11"/>
        <v>0.7</v>
      </c>
      <c r="K121" s="15"/>
      <c r="L121" s="20" t="str">
        <f t="shared" si="12"/>
        <v>https://www.google.com/maps/dir/Catamarca+Sur+664,+San+Juan/E.P.E.T.+N%C2%B0+2,+J5402DFH,+B.+Rivadavia+Oeste+302-400,+J5402DFH+San+Juan/@-31.5398098,-68.5351304,1234m/data=!3m2!1e3!4b1!4m14!4m13!1m5!1m1!1s0x9681402690dd76eb:0x4b283f8fe10ce3f3!2m2!1d-68.5293761!2d-31.5426363!1m5!1m1!1s0x96814028ccc33915:0xd9af39a8ef5964c!2m2!1d-68.5305786!2d-31.5371191!3e0?entry=ttu&amp;g_ep=EgoyMDI1MDYzMC4wIKXMDSoASAFQAw%3D%3D</v>
      </c>
      <c r="M121" s="21" t="str">
        <f t="shared" si="8"/>
        <v>https://webagentes.canaldirecto.com.ar/incidents/view/830258-8</v>
      </c>
      <c r="N121" s="21" t="str">
        <f t="shared" si="9"/>
        <v>https://webagentes.canaldirecto.com.ar/incidents/view/830258-8</v>
      </c>
      <c r="O121" s="21"/>
      <c r="P121" s="22"/>
    </row>
    <row r="122" spans="1:16" s="23" customFormat="1" ht="21" customHeight="1" thickBot="1" x14ac:dyDescent="0.25">
      <c r="A122" s="28">
        <v>1</v>
      </c>
      <c r="B122" s="29" t="s">
        <v>361</v>
      </c>
      <c r="C122" s="18" t="s">
        <v>19</v>
      </c>
      <c r="D122" s="18" t="s">
        <v>36</v>
      </c>
      <c r="E122" s="18" t="s">
        <v>27</v>
      </c>
      <c r="F122" s="18" t="s">
        <v>362</v>
      </c>
      <c r="G122" s="18" t="s">
        <v>363</v>
      </c>
      <c r="H122" s="19">
        <v>20260416</v>
      </c>
      <c r="I122" s="15" t="str">
        <f t="shared" si="10"/>
        <v>Capital</v>
      </c>
      <c r="J122" s="15">
        <f t="shared" si="11"/>
        <v>10</v>
      </c>
      <c r="K122" s="15"/>
      <c r="L122" s="20" t="str">
        <f t="shared" si="12"/>
        <v>https://www.google.com/maps/dir/Catamarca+Sur+664,+San+Juan/C.E.N.S.+N%C2%B0+239+-+Escuela+Primaria+Capital+Federal,+C.+S+Sarassa+Oeste+1425,+J5402+San+Juan/Catamarca+Sur+664,+San+Juan/@-31.5475701,-68.5454792,2468m/data=!3m2!1e3!4b1!4m20!4m19!1m5!1m1!1s0x9681402690dd76eb:0x4b283f8fe10ce3f3!2m2!1d-68.5293761!2d-31.5426363!1m5!1m1!1s0x9681403df5857a11:0x6020bb2eaf1fcd7!2m2!1d-68.5413762!2d-31.5517346!1m5!1m1!1s0x9681402690dd76eb:0x4b283f8fe10ce3f3!2m2!1d-68.5293761!2d-31.5426363!3e0?entry=ttu&amp;g_ep=EgoyMDI1MDgxMy4wIKXMDSoASAFQAw%3D%3D</v>
      </c>
      <c r="M122" s="21" t="str">
        <f t="shared" si="8"/>
        <v>https://webagentes.canaldirecto.com.ar/incidents/view/830257-9</v>
      </c>
      <c r="N122" s="21" t="str">
        <f t="shared" si="9"/>
        <v>https://webagentes.canaldirecto.com.ar/incidents/view/830257-9</v>
      </c>
      <c r="O122" s="21"/>
      <c r="P122" s="22"/>
    </row>
    <row r="123" spans="1:16" s="23" customFormat="1" ht="21" customHeight="1" thickBot="1" x14ac:dyDescent="0.25">
      <c r="A123" s="28">
        <v>1</v>
      </c>
      <c r="B123" s="29" t="s">
        <v>364</v>
      </c>
      <c r="C123" s="18" t="s">
        <v>19</v>
      </c>
      <c r="D123" s="18" t="s">
        <v>36</v>
      </c>
      <c r="E123" s="18" t="s">
        <v>27</v>
      </c>
      <c r="F123" s="18" t="s">
        <v>365</v>
      </c>
      <c r="G123" s="18" t="s">
        <v>366</v>
      </c>
      <c r="H123" s="19">
        <v>20260416</v>
      </c>
      <c r="I123" s="15" t="str">
        <f t="shared" si="10"/>
        <v>Capital</v>
      </c>
      <c r="J123" s="15">
        <f t="shared" si="11"/>
        <v>10</v>
      </c>
      <c r="K123" s="15"/>
      <c r="L123" s="20" t="str">
        <f t="shared" si="12"/>
        <v>https://www.google.com/maps/dir/Catamarca+Sur+664,+San+Juan/Escuela+9+de+Julio+-+Primaria,+Bernardo+de+Monteagudo+902-950,+J5400+San+Juan/@-31.5292982,-68.5457805,4938m/data=!3m2!1e3!4b1!4m14!4m13!1m5!1m1!1s0x9681402690dd76eb:0x4b283f8fe10ce3f3!2m2!1d-68.5293761!2d-31.5426363!1m5!1m1!1s0x96816b9d37ae74c5:0xffadd456be9b205f!2m2!1d-68.5146062!2d-31.5176879!3e0?entry=ttu&amp;g_ep=EgoyMDI1MDYyOS4wIKXMDSoASAFQAw%3D%3D</v>
      </c>
      <c r="M123" s="21" t="str">
        <f t="shared" si="8"/>
        <v>https://webagentes.canaldirecto.com.ar/incidents/view/830256-0</v>
      </c>
      <c r="N123" s="21" t="str">
        <f t="shared" si="9"/>
        <v>https://webagentes.canaldirecto.com.ar/incidents/view/830256-0</v>
      </c>
      <c r="O123" s="21"/>
      <c r="P123" s="22"/>
    </row>
    <row r="124" spans="1:16" s="23" customFormat="1" ht="21" customHeight="1" thickBot="1" x14ac:dyDescent="0.25">
      <c r="A124" s="28">
        <v>1</v>
      </c>
      <c r="B124" s="29" t="s">
        <v>367</v>
      </c>
      <c r="C124" s="18" t="s">
        <v>19</v>
      </c>
      <c r="D124" s="18" t="s">
        <v>36</v>
      </c>
      <c r="E124" s="18" t="s">
        <v>27</v>
      </c>
      <c r="F124" s="18" t="s">
        <v>368</v>
      </c>
      <c r="G124" s="18" t="s">
        <v>369</v>
      </c>
      <c r="H124" s="19">
        <v>20260416</v>
      </c>
      <c r="I124" s="15" t="e">
        <f t="shared" si="10"/>
        <v>#N/A</v>
      </c>
      <c r="J124" s="15" t="e">
        <f t="shared" si="11"/>
        <v>#N/A</v>
      </c>
      <c r="K124" s="15"/>
      <c r="L124" s="20" t="e">
        <f t="shared" si="12"/>
        <v>#N/A</v>
      </c>
      <c r="M124" s="21" t="str">
        <f t="shared" si="8"/>
        <v>https://webagentes.canaldirecto.com.ar/incidents/view/830253-3</v>
      </c>
      <c r="N124" s="21" t="str">
        <f t="shared" si="9"/>
        <v>https://webagentes.canaldirecto.com.ar/incidents/view/830253-3</v>
      </c>
      <c r="O124" s="21"/>
      <c r="P124" s="22"/>
    </row>
    <row r="125" spans="1:16" s="23" customFormat="1" ht="21" customHeight="1" thickBot="1" x14ac:dyDescent="0.25">
      <c r="A125" s="28">
        <v>1</v>
      </c>
      <c r="B125" s="29" t="s">
        <v>370</v>
      </c>
      <c r="C125" s="18" t="s">
        <v>19</v>
      </c>
      <c r="D125" s="18" t="s">
        <v>36</v>
      </c>
      <c r="E125" s="18" t="s">
        <v>27</v>
      </c>
      <c r="F125" s="18" t="s">
        <v>371</v>
      </c>
      <c r="G125" s="18" t="s">
        <v>372</v>
      </c>
      <c r="H125" s="19">
        <v>20260416</v>
      </c>
      <c r="I125" s="15" t="str">
        <f t="shared" si="10"/>
        <v>Capital</v>
      </c>
      <c r="J125" s="15">
        <f t="shared" si="11"/>
        <v>6</v>
      </c>
      <c r="K125" s="15"/>
      <c r="L125" s="20" t="str">
        <f t="shared" si="12"/>
        <v>https://www.google.com/maps/dir/Catamarca+Sur+664,+San+Juan/Centro+Polivalente+de+Arte,+Gral+Mariano+Acha+Sur+1896,+J5402+San+Juan/@-31.5504492,-68.5360821,2468m/data=!3m2!1e3!4b1!4m14!4m13!1m5!1m1!1s0x9681402690dd76eb:0x4b283f8fe10ce3f3!2m2!1d-68.5293761!2d-31.5426363!1m5!1m1!1s0x96816aa7d2644013:0x3190daeafeaa218c!2m2!1d-68.521864!2d-31.5585661!3e0?entry=ttu&amp;g_ep=EgoyMDI1MDYxNy4wIKXMDSoASAFQAw%3D%3D</v>
      </c>
      <c r="M125" s="21" t="str">
        <f t="shared" si="8"/>
        <v>https://webagentes.canaldirecto.com.ar/incidents/view/830252-4</v>
      </c>
      <c r="N125" s="21" t="str">
        <f t="shared" si="9"/>
        <v>https://webagentes.canaldirecto.com.ar/incidents/view/830252-4</v>
      </c>
      <c r="O125" s="21"/>
      <c r="P125" s="22"/>
    </row>
    <row r="126" spans="1:16" s="23" customFormat="1" ht="21" customHeight="1" thickBot="1" x14ac:dyDescent="0.25">
      <c r="A126" s="28">
        <v>1</v>
      </c>
      <c r="B126" s="29" t="s">
        <v>373</v>
      </c>
      <c r="C126" s="18" t="s">
        <v>19</v>
      </c>
      <c r="D126" s="18" t="s">
        <v>36</v>
      </c>
      <c r="E126" s="18" t="s">
        <v>27</v>
      </c>
      <c r="F126" s="18" t="s">
        <v>374</v>
      </c>
      <c r="G126" s="18" t="s">
        <v>375</v>
      </c>
      <c r="H126" s="19">
        <v>20260416</v>
      </c>
      <c r="I126" s="15" t="str">
        <f t="shared" si="10"/>
        <v>Capital</v>
      </c>
      <c r="J126" s="15">
        <f t="shared" si="11"/>
        <v>0</v>
      </c>
      <c r="K126" s="15"/>
      <c r="L126" s="20">
        <f t="shared" si="12"/>
        <v>0</v>
      </c>
      <c r="M126" s="21" t="str">
        <f t="shared" si="8"/>
        <v>https://webagentes.canaldirecto.com.ar/incidents/view/830251-5</v>
      </c>
      <c r="N126" s="21" t="str">
        <f t="shared" si="9"/>
        <v>https://webagentes.canaldirecto.com.ar/incidents/view/830251-5</v>
      </c>
      <c r="O126" s="21"/>
      <c r="P126" s="22"/>
    </row>
    <row r="127" spans="1:16" s="23" customFormat="1" ht="21" customHeight="1" thickBot="1" x14ac:dyDescent="0.25">
      <c r="A127" s="28">
        <v>1</v>
      </c>
      <c r="B127" s="29" t="s">
        <v>376</v>
      </c>
      <c r="C127" s="18" t="s">
        <v>19</v>
      </c>
      <c r="D127" s="18" t="s">
        <v>36</v>
      </c>
      <c r="E127" s="18" t="s">
        <v>27</v>
      </c>
      <c r="F127" s="18" t="s">
        <v>377</v>
      </c>
      <c r="G127" s="18" t="s">
        <v>378</v>
      </c>
      <c r="H127" s="19">
        <v>20260416</v>
      </c>
      <c r="I127" s="15" t="str">
        <f t="shared" si="10"/>
        <v>Capital</v>
      </c>
      <c r="J127" s="15">
        <f t="shared" si="11"/>
        <v>16</v>
      </c>
      <c r="K127" s="15"/>
      <c r="L127" s="20" t="str">
        <f t="shared" si="12"/>
        <v>https://www.google.com/maps/dir/Catamarca+Sur+664,+San+Juan/Escuela+de+Fruticultura+y+Enolog%C3%ADa+de+San+Juan,+700,+J5400GTT,+Paula+Albarrac%C3%ADn+de+Sarmiento+Nte.+602,+San+Juan/@-31.5342044,-68.5538613,2469m/data=!3m2!1e3!4b1!4m14!4m13!1m5!1m1!1s0x9681402690dd76eb:0x4b283f8fe10ce3f3!2m2!1d-68.5293761!2d-31.5426363!1m5!1m1!1s0x968141b3f9f6f6bd:0x51a5ca43958c75ef!2m2!1d-68.5550025!2d-31.5276274!3e0?entry=ttu&amp;g_ep=EgoyMDI1MDYxNy4wIKXMDSoASAFQAw%3D%3D</v>
      </c>
      <c r="M127" s="21" t="str">
        <f t="shared" si="8"/>
        <v>https://webagentes.canaldirecto.com.ar/incidents/view/830247-2</v>
      </c>
      <c r="N127" s="21" t="str">
        <f t="shared" si="9"/>
        <v>https://webagentes.canaldirecto.com.ar/incidents/view/830247-2</v>
      </c>
      <c r="O127" s="21"/>
      <c r="P127" s="22"/>
    </row>
    <row r="128" spans="1:16" s="23" customFormat="1" ht="21" customHeight="1" thickBot="1" x14ac:dyDescent="0.25">
      <c r="A128" s="28">
        <v>1</v>
      </c>
      <c r="B128" s="29" t="s">
        <v>379</v>
      </c>
      <c r="C128" s="18" t="s">
        <v>19</v>
      </c>
      <c r="D128" s="18" t="s">
        <v>36</v>
      </c>
      <c r="E128" s="18" t="s">
        <v>27</v>
      </c>
      <c r="F128" s="18" t="s">
        <v>377</v>
      </c>
      <c r="G128" s="18" t="s">
        <v>380</v>
      </c>
      <c r="H128" s="19">
        <v>20260416</v>
      </c>
      <c r="I128" s="15" t="str">
        <f t="shared" si="10"/>
        <v>Capital</v>
      </c>
      <c r="J128" s="15">
        <f t="shared" si="11"/>
        <v>16</v>
      </c>
      <c r="K128" s="15"/>
      <c r="L128" s="20" t="str">
        <f t="shared" si="12"/>
        <v>https://www.google.com/maps/dir/Catamarca+Sur+664,+San+Juan/Escuela+de+Fruticultura+y+Enolog%C3%ADa+de+San+Juan,+700,+J5400GTT,+Paula+Albarrac%C3%ADn+de+Sarmiento+Nte.+602,+San+Juan/@-31.5342044,-68.5538613,2469m/data=!3m2!1e3!4b1!4m14!4m13!1m5!1m1!1s0x9681402690dd76eb:0x4b283f8fe10ce3f3!2m2!1d-68.5293761!2d-31.5426363!1m5!1m1!1s0x968141b3f9f6f6bd:0x51a5ca43958c75ef!2m2!1d-68.5550025!2d-31.5276274!3e0?entry=ttu&amp;g_ep=EgoyMDI1MDYxNy4wIKXMDSoASAFQAw%3D%3D</v>
      </c>
      <c r="M128" s="21" t="str">
        <f t="shared" si="8"/>
        <v>https://webagentes.canaldirecto.com.ar/incidents/view/830246-3</v>
      </c>
      <c r="N128" s="21" t="str">
        <f t="shared" si="9"/>
        <v>https://webagentes.canaldirecto.com.ar/incidents/view/830246-3</v>
      </c>
      <c r="O128" s="21"/>
      <c r="P128" s="22"/>
    </row>
    <row r="129" spans="1:16" s="23" customFormat="1" ht="21" customHeight="1" thickBot="1" x14ac:dyDescent="0.25">
      <c r="A129" s="28">
        <v>1</v>
      </c>
      <c r="B129" s="29" t="s">
        <v>381</v>
      </c>
      <c r="C129" s="18" t="s">
        <v>19</v>
      </c>
      <c r="D129" s="18" t="s">
        <v>36</v>
      </c>
      <c r="E129" s="18" t="s">
        <v>27</v>
      </c>
      <c r="F129" s="18" t="s">
        <v>382</v>
      </c>
      <c r="G129" s="18" t="s">
        <v>383</v>
      </c>
      <c r="H129" s="19">
        <v>20260416</v>
      </c>
      <c r="I129" s="15" t="str">
        <f t="shared" si="10"/>
        <v>Capital</v>
      </c>
      <c r="J129" s="15">
        <f t="shared" si="11"/>
        <v>9</v>
      </c>
      <c r="K129" s="15"/>
      <c r="L129" s="20" t="str">
        <f t="shared" si="12"/>
        <v>https://www.google.com/maps/dir/Catamarca+Sur+664,+San+Juan/-31.5176686,-68.514599/@-31.5292982,-68.5457765,4938m/data=!3m2!1e3!4b1!4m9!4m8!1m5!1m1!1s0x9681402690dd76eb:0x4b283f8fe10ce3f3!2m2!1d-68.5293761!2d-31.5426363!1m0!3e0?hl=es&amp;entry=ttu&amp;g_ep=EgoyMDI1MDYxNy4wIKXMDSoASAFQAw%3D%3D</v>
      </c>
      <c r="M129" s="21" t="str">
        <f t="shared" si="8"/>
        <v>https://webagentes.canaldirecto.com.ar/incidents/view/830245-4</v>
      </c>
      <c r="N129" s="21" t="str">
        <f t="shared" si="9"/>
        <v>https://webagentes.canaldirecto.com.ar/incidents/view/830245-4</v>
      </c>
      <c r="O129" s="21"/>
      <c r="P129" s="22"/>
    </row>
    <row r="130" spans="1:16" s="23" customFormat="1" ht="21" customHeight="1" thickBot="1" x14ac:dyDescent="0.25">
      <c r="A130" s="24">
        <v>3</v>
      </c>
      <c r="B130" s="25" t="s">
        <v>384</v>
      </c>
      <c r="C130" s="18" t="s">
        <v>19</v>
      </c>
      <c r="D130" s="18" t="s">
        <v>36</v>
      </c>
      <c r="E130" s="18" t="s">
        <v>27</v>
      </c>
      <c r="F130" s="18" t="s">
        <v>385</v>
      </c>
      <c r="G130" s="18" t="s">
        <v>386</v>
      </c>
      <c r="H130" s="19">
        <v>20260416</v>
      </c>
      <c r="I130" s="15" t="str">
        <f t="shared" si="10"/>
        <v>Capital</v>
      </c>
      <c r="J130" s="15">
        <f t="shared" si="11"/>
        <v>2</v>
      </c>
      <c r="K130" s="15"/>
      <c r="L130" s="20" t="str">
        <f t="shared" si="12"/>
        <v>https://www.google.com/maps/dir/Catamarca+Sur+664,+San+Juan/Escuela+Sarmiento,+399+J5400ARD,+Av.+Libertador+Gral.+San+Mart%C3%ADn+301,+J5400ARD+San+Juan/@-31.5346969,-68.5318737,309m/data=!3m1!1e3!4m14!4m13!1m5!1m1!1s0x9681402690dd76eb:0x4b283f8fe10ce3f3!2m2!1d-68.5293761!2d-31.5426363!1m5!1m1!1s0x9681402eba52d5d1:0xfd668ae86d9ab4c0!2m2!1d-68.5314656!2d-31.5344226!3e0?entry=ttu&amp;g_ep=EgoyMDI1MDYyOS4wIKXMDSoASAFQAw%3D%3D</v>
      </c>
      <c r="M130" s="21" t="str">
        <f t="shared" si="8"/>
        <v>https://webagentes.canaldirecto.com.ar/incidents/view/830244-5</v>
      </c>
      <c r="N130" s="21" t="str">
        <f t="shared" si="9"/>
        <v>https://webagentes.canaldirecto.com.ar/incidents/view/830244-5</v>
      </c>
      <c r="O130" s="21"/>
      <c r="P130" s="22"/>
    </row>
    <row r="131" spans="1:16" s="23" customFormat="1" ht="21" customHeight="1" thickBot="1" x14ac:dyDescent="0.25">
      <c r="A131" s="28">
        <v>1</v>
      </c>
      <c r="B131" s="29" t="s">
        <v>387</v>
      </c>
      <c r="C131" s="18" t="s">
        <v>19</v>
      </c>
      <c r="D131" s="18" t="s">
        <v>36</v>
      </c>
      <c r="E131" s="18" t="s">
        <v>27</v>
      </c>
      <c r="F131" s="18" t="s">
        <v>388</v>
      </c>
      <c r="G131" s="18" t="s">
        <v>389</v>
      </c>
      <c r="H131" s="19">
        <v>20260416</v>
      </c>
      <c r="I131" s="15" t="str">
        <f t="shared" si="10"/>
        <v>Capital</v>
      </c>
      <c r="J131" s="15">
        <f t="shared" si="11"/>
        <v>2.7</v>
      </c>
      <c r="K131" s="15"/>
      <c r="L131" s="20" t="str">
        <f t="shared" si="12"/>
        <v>google.com/maps/dir/Catamarca+Sur+664,+San+Juan/ISFT+Escuela+de+Bibliotecología+Dr.+Mariano+Moreno,+ARD,+Av.+Libertador+Gral.+San+Martín+381,+J5400+J5400ARD,+San+Juan/Catamarca+Sur+664,+San+Juan/@-31.538548,-68.5356172,1234m/data=!3m1!1e3!4m20!4m19!1m5!1m1!1s0x9681402690dd76eb:0x4b283f8fe10ce3f3!2m2!1d-68.5293623!2d-31.542635!1m5!1m1!1s0x9681416fc2a7ba7d:0xaf9f1e0cf54f6104!2m2!1d-68.5315723!2d-31.5344623!1m5!1m1!1s0x9681402690dd76eb:0x4b283f8fe10ce3f3!2m2!1d-68.5293623!2d-31.542635!3e0?hl=es&amp;entry=ttu&amp;g_ep=EgoyMDI1MDgyNS4wIKXMDSoASAFQAw%3D%3D</v>
      </c>
      <c r="M131" s="21" t="str">
        <f t="shared" ref="M131:M194" si="13">HYPERLINK(N131)</f>
        <v>https://webagentes.canaldirecto.com.ar/incidents/view/830243-6</v>
      </c>
      <c r="N131" s="21" t="str">
        <f t="shared" ref="N131:N194" si="14">CONCATENATE("https://webagentes.canaldirecto.com.ar/incidents/view/",B131)</f>
        <v>https://webagentes.canaldirecto.com.ar/incidents/view/830243-6</v>
      </c>
      <c r="O131" s="21"/>
      <c r="P131" s="22"/>
    </row>
    <row r="132" spans="1:16" s="23" customFormat="1" ht="21" customHeight="1" thickBot="1" x14ac:dyDescent="0.25">
      <c r="A132" s="24">
        <v>3</v>
      </c>
      <c r="B132" s="25" t="s">
        <v>390</v>
      </c>
      <c r="C132" s="18" t="s">
        <v>19</v>
      </c>
      <c r="D132" s="18" t="s">
        <v>20</v>
      </c>
      <c r="E132" s="18" t="s">
        <v>27</v>
      </c>
      <c r="F132" s="18" t="s">
        <v>391</v>
      </c>
      <c r="G132" s="18" t="s">
        <v>392</v>
      </c>
      <c r="H132" s="19">
        <v>20260416</v>
      </c>
      <c r="I132" s="15" t="str">
        <f t="shared" ref="I132:I195" si="15">VLOOKUP(G132,DIOS,2,FALSE)</f>
        <v>Angaco</v>
      </c>
      <c r="J132" s="15">
        <f t="shared" ref="J132:J195" si="16">VLOOKUP(G132,DIOS,5,FALSE)</f>
        <v>44.7</v>
      </c>
      <c r="K132" s="15"/>
      <c r="L132" s="20" t="str">
        <f t="shared" ref="L132:L195" si="17">VLOOKUP(G132,DIOS,4,FALSE)</f>
        <v>https://www.google.com/maps/dir/Catamarca+Sur+664,+San+Juan/Escuela+de+Educaci%C3%B3n+Especial+Multiple+de+Angaco,+J5415+Villa+del+Salvador,+San+Juan/Catamarca+Sur+664,+San+Juan/@-31.5072113,-68.5505258,19756m/data=!3m2!1e3!4b1!4m20!4m19!1m5!1m1!1s0x9681402690dd76eb:0x4b283f8fe10ce3f3!2m2!1d-68.5293761!2d-31.5426363!1m5!1m1!1s0x96816f67f6a6bf3f:0xce145b8fee74b8e3!2m2!1d-68.4010117!2d-31.4597629!1m5!1m1!1s0x9681402690dd76eb:0x4b283f8fe10ce3f3!2m2!1d-68.5293761!2d-31.5426363!3e0?hl=es&amp;entry=ttu&amp;g_ep=EgoyMDI1MDgxMy4wIKXMDSoASAFQAw%3D%3D</v>
      </c>
      <c r="M132" s="21" t="str">
        <f t="shared" si="13"/>
        <v>https://webagentes.canaldirecto.com.ar/incidents/view/829996-5</v>
      </c>
      <c r="N132" s="21" t="str">
        <f t="shared" si="14"/>
        <v>https://webagentes.canaldirecto.com.ar/incidents/view/829996-5</v>
      </c>
      <c r="O132" s="21"/>
      <c r="P132" s="22"/>
    </row>
    <row r="133" spans="1:16" s="23" customFormat="1" ht="21" customHeight="1" thickBot="1" x14ac:dyDescent="0.25">
      <c r="A133" s="24">
        <v>3</v>
      </c>
      <c r="B133" s="25" t="s">
        <v>393</v>
      </c>
      <c r="C133" s="18" t="s">
        <v>19</v>
      </c>
      <c r="D133" s="18" t="s">
        <v>20</v>
      </c>
      <c r="E133" s="18" t="s">
        <v>27</v>
      </c>
      <c r="F133" s="18" t="s">
        <v>394</v>
      </c>
      <c r="G133" s="18" t="s">
        <v>395</v>
      </c>
      <c r="H133" s="19">
        <v>20260416</v>
      </c>
      <c r="I133" s="15" t="str">
        <f t="shared" si="15"/>
        <v>Angaco</v>
      </c>
      <c r="J133" s="15">
        <f t="shared" si="16"/>
        <v>45</v>
      </c>
      <c r="K133" s="15">
        <v>45</v>
      </c>
      <c r="L133" s="20" t="str">
        <f t="shared" si="17"/>
        <v>https://www.google.com/maps/dir/Catamarca+Sur+664,+San+Juan/Escuela+Juan+Jufre,+Villa+del+Salvador,+San+Juan/Catamarca+Sur+664,+San+Juan/@-31.5041797,-68.5519,19757m/data=!3m2!1e3!4b1!4m20!4m19!1m5!1m1!1s0x9681402690dd76eb:0x4b283f8fe10ce3f3!2m2!1d-68.5293761!2d-31.5426363!1m5!1m1!1s0x96816e98f0a9c279:0x14aa8df5048a334a!2m2!1d-68.4032407!2d-31.4543625!1m5!1m1!1s0x9681402690dd76eb:0x4b283f8fe10ce3f3!2m2!1d-68.5293761!2d-31.5426363!3e0?hl=es&amp;entry=ttu&amp;g_ep=EgoyMDI1MDczMC4wIKXMDSoASAFQAw%3D%3D</v>
      </c>
      <c r="M133" s="21" t="str">
        <f t="shared" si="13"/>
        <v>https://webagentes.canaldirecto.com.ar/incidents/view/829989-5</v>
      </c>
      <c r="N133" s="21" t="str">
        <f t="shared" si="14"/>
        <v>https://webagentes.canaldirecto.com.ar/incidents/view/829989-5</v>
      </c>
      <c r="O133" s="21"/>
      <c r="P133" s="22"/>
    </row>
    <row r="134" spans="1:16" s="23" customFormat="1" ht="21" customHeight="1" thickBot="1" x14ac:dyDescent="0.25">
      <c r="A134" s="24">
        <v>3</v>
      </c>
      <c r="B134" s="25" t="s">
        <v>396</v>
      </c>
      <c r="C134" s="18" t="s">
        <v>19</v>
      </c>
      <c r="D134" s="18" t="s">
        <v>20</v>
      </c>
      <c r="E134" s="18" t="s">
        <v>27</v>
      </c>
      <c r="F134" s="18" t="s">
        <v>397</v>
      </c>
      <c r="G134" s="18" t="s">
        <v>398</v>
      </c>
      <c r="H134" s="19">
        <v>20260416</v>
      </c>
      <c r="I134" s="15" t="e">
        <f t="shared" si="15"/>
        <v>#N/A</v>
      </c>
      <c r="J134" s="15" t="e">
        <f t="shared" si="16"/>
        <v>#N/A</v>
      </c>
      <c r="K134" s="15"/>
      <c r="L134" s="20" t="e">
        <f t="shared" si="17"/>
        <v>#N/A</v>
      </c>
      <c r="M134" s="21" t="str">
        <f t="shared" si="13"/>
        <v>https://webagentes.canaldirecto.com.ar/incidents/view/829870-8</v>
      </c>
      <c r="N134" s="21" t="str">
        <f t="shared" si="14"/>
        <v>https://webagentes.canaldirecto.com.ar/incidents/view/829870-8</v>
      </c>
      <c r="O134" s="21"/>
      <c r="P134" s="22"/>
    </row>
    <row r="135" spans="1:16" s="23" customFormat="1" ht="21" customHeight="1" thickBot="1" x14ac:dyDescent="0.25">
      <c r="A135" s="24">
        <v>3</v>
      </c>
      <c r="B135" s="25" t="s">
        <v>399</v>
      </c>
      <c r="C135" s="18" t="s">
        <v>19</v>
      </c>
      <c r="D135" s="18" t="s">
        <v>20</v>
      </c>
      <c r="E135" s="18" t="s">
        <v>27</v>
      </c>
      <c r="F135" s="18" t="s">
        <v>400</v>
      </c>
      <c r="G135" s="18" t="s">
        <v>401</v>
      </c>
      <c r="H135" s="19">
        <v>20260416</v>
      </c>
      <c r="I135" s="15" t="str">
        <f t="shared" si="15"/>
        <v>Ulum</v>
      </c>
      <c r="J135" s="15">
        <f t="shared" si="16"/>
        <v>67.5</v>
      </c>
      <c r="K135" s="15"/>
      <c r="L135" s="20" t="str">
        <f t="shared" si="17"/>
        <v>https://www.google.com/maps/place/Escuela+Elvira+de+La+Riestra+de+Lainez/@-31.4858625,-68.7154959,19761m/data=!3m1!1e3!4m30!1m23!4m22!1m6!1m2!1s0x9681402690dd76eb:0x4b283f8fe10ce3f3!2sCatamarca+Sur+664,+J5402GSN+San+Juan!2m2!1d-68.5293761!2d-31.5426363!1m6!1m2!1s0x96814f39c3ec0195:0xa22d5311c116c93f!2sEscuela+Elvira+de+La+Riestra+de+Lainez,+San+Juan!2m2!1d-68.736792!2d-31.4618694!1m6!1m2!1s0x9681402690dd76eb:0x4b283f8fe10ce3f3!2sCatamarca+Sur+664,+San+Juan!2m2!1d-68.5293761!2d-31.5426363!3e0!3m5!1s0x96814f39c3ec0195:0xa22d5311c116c93f!8m2!3d-31.4618574!4d-68.7367936!16s%2Fg%2F11g1gmz4rs?entry=ttu&amp;g_ep=EgoyMDI1MDgxMy4wIKXMDSoASAFQAw%3D%3D</v>
      </c>
      <c r="M135" s="21" t="str">
        <f t="shared" si="13"/>
        <v>https://webagentes.canaldirecto.com.ar/incidents/view/829867-4</v>
      </c>
      <c r="N135" s="21" t="str">
        <f t="shared" si="14"/>
        <v>https://webagentes.canaldirecto.com.ar/incidents/view/829867-4</v>
      </c>
      <c r="O135" s="21"/>
      <c r="P135" s="22"/>
    </row>
    <row r="136" spans="1:16" s="23" customFormat="1" ht="21" customHeight="1" thickBot="1" x14ac:dyDescent="0.25">
      <c r="A136" s="16">
        <v>2</v>
      </c>
      <c r="B136" s="17" t="s">
        <v>402</v>
      </c>
      <c r="C136" s="18" t="s">
        <v>19</v>
      </c>
      <c r="D136" s="18" t="s">
        <v>36</v>
      </c>
      <c r="E136" s="18" t="s">
        <v>27</v>
      </c>
      <c r="F136" s="18" t="s">
        <v>403</v>
      </c>
      <c r="G136" s="18" t="s">
        <v>404</v>
      </c>
      <c r="H136" s="37">
        <v>20260417</v>
      </c>
      <c r="I136" s="15" t="str">
        <f t="shared" si="15"/>
        <v>Capital</v>
      </c>
      <c r="J136" s="15">
        <f t="shared" si="16"/>
        <v>2</v>
      </c>
      <c r="K136" s="15"/>
      <c r="L136" s="20" t="str">
        <f t="shared" si="17"/>
        <v>https://www.google.com/maps/dir/Catamarca+Sur+664,+San+Juan/Escuela+Liceo+Paula+Albarrac%C3%ADn+de+Sarmiento,+Sta+Fe+Este+252,+J5402+AAF,+San+Juan/@-31.5406219,-68.5305446,1234m/data=!3m2!1e3!4b1!4m14!4m13!1m5!1m1!1s0x9681402690dd76eb:0x4b283f8fe10ce3f3!2m2!1d-68.5293761!2d-31.5426363!1m5!1m1!1s0x96816a9cd9ab55fb:0x554f5eba670a7631!2m2!1d-68.5218799!2d-31.5387555!3e0?entry=ttu&amp;g_ep=EgoyMDI1MDYxNy4wIKXMDSoASAFQAw%3D%3D</v>
      </c>
      <c r="M136" s="21" t="str">
        <f t="shared" si="13"/>
        <v>https://webagentes.canaldirecto.com.ar/incidents/view/830400-9</v>
      </c>
      <c r="N136" s="21" t="str">
        <f t="shared" si="14"/>
        <v>https://webagentes.canaldirecto.com.ar/incidents/view/830400-9</v>
      </c>
      <c r="O136" s="21"/>
      <c r="P136" s="22"/>
    </row>
    <row r="137" spans="1:16" s="23" customFormat="1" ht="21" customHeight="1" thickBot="1" x14ac:dyDescent="0.25">
      <c r="A137" s="16">
        <v>2</v>
      </c>
      <c r="B137" s="17" t="s">
        <v>405</v>
      </c>
      <c r="C137" s="18" t="s">
        <v>19</v>
      </c>
      <c r="D137" s="18" t="s">
        <v>36</v>
      </c>
      <c r="E137" s="18" t="s">
        <v>27</v>
      </c>
      <c r="F137" s="18" t="s">
        <v>284</v>
      </c>
      <c r="G137" s="18" t="s">
        <v>406</v>
      </c>
      <c r="H137" s="37">
        <v>20260417</v>
      </c>
      <c r="I137" s="15" t="str">
        <f t="shared" si="15"/>
        <v>Capital</v>
      </c>
      <c r="J137" s="15">
        <f t="shared" si="16"/>
        <v>3</v>
      </c>
      <c r="K137" s="15"/>
      <c r="L137" s="20" t="str">
        <f t="shared" si="17"/>
        <v>https://www.google.com/maps/dir/Catamarca+Sur+664,+San+Juan/Escuela+Normal+Superior+%22Sarmiento%22,+J5402DYA,+Av.+Leandro+N.+Alem+Sur+11-99,+J5402DYA+San+Juan/@-31.538548,-68.5358873,1234m/data=!3m2!1e3!4b1!4m14!4m13!1m5!1m1!1s0x9681402690dd76eb:0x4b283f8fe10ce3f3!2m2!1d-68.5293761!2d-31.5426363!1m5!1m1!1s0x9681402ec07364ef:0x6f9dfb50506f4e5d!2m2!1d-68.5320464!2d-31.5352218!3e0?entry=ttu&amp;g_ep=EgoyMDI1MDYxNy4wIKXMDSoASAFQAw%3D%3D</v>
      </c>
      <c r="M137" s="21" t="str">
        <f t="shared" si="13"/>
        <v>https://webagentes.canaldirecto.com.ar/incidents/view/830399-4</v>
      </c>
      <c r="N137" s="21" t="str">
        <f t="shared" si="14"/>
        <v>https://webagentes.canaldirecto.com.ar/incidents/view/830399-4</v>
      </c>
      <c r="O137" s="21"/>
      <c r="P137" s="22"/>
    </row>
    <row r="138" spans="1:16" s="23" customFormat="1" ht="21" customHeight="1" thickBot="1" x14ac:dyDescent="0.25">
      <c r="A138" s="16">
        <v>2</v>
      </c>
      <c r="B138" s="17" t="s">
        <v>407</v>
      </c>
      <c r="C138" s="18" t="s">
        <v>19</v>
      </c>
      <c r="D138" s="18" t="s">
        <v>36</v>
      </c>
      <c r="E138" s="18" t="s">
        <v>27</v>
      </c>
      <c r="F138" s="18" t="s">
        <v>408</v>
      </c>
      <c r="G138" s="18" t="s">
        <v>409</v>
      </c>
      <c r="H138" s="37">
        <v>20260417</v>
      </c>
      <c r="I138" s="15" t="str">
        <f t="shared" si="15"/>
        <v>Capital</v>
      </c>
      <c r="J138" s="15">
        <f t="shared" si="16"/>
        <v>2.7</v>
      </c>
      <c r="K138" s="15"/>
      <c r="L138" s="20" t="str">
        <f t="shared" si="17"/>
        <v>https://www.google.com/maps/dir/Catamarca+Sur+664,+San+Juan/-31.5347648,-68.5280578/Catamarca+Sur+664,+San+Juan/@-31.5386681,-68.5329585,1234m/data=!3m2!1e3!4b1!4m15!4m14!1m5!1m1!1s0x9681402690dd76eb:0x4b283f8fe10ce3f3!2m2!1d-68.5293623!2d-31.542635!1m0!1m5!1m1!1s0x9681402690dd76eb:0x4b283f8fe10ce3f3!2m2!1d-68.5293623!2d-31.542635!3e0?hl=es&amp;entry=ttu&amp;g_ep=EgoyMDI1MDgxOS4wIKXMDSoASAFQAw%3D%3D</v>
      </c>
      <c r="M138" s="21" t="str">
        <f t="shared" si="13"/>
        <v>https://webagentes.canaldirecto.com.ar/incidents/view/830398-5</v>
      </c>
      <c r="N138" s="21" t="str">
        <f t="shared" si="14"/>
        <v>https://webagentes.canaldirecto.com.ar/incidents/view/830398-5</v>
      </c>
      <c r="O138" s="21"/>
      <c r="P138" s="22"/>
    </row>
    <row r="139" spans="1:16" s="23" customFormat="1" ht="21" customHeight="1" thickBot="1" x14ac:dyDescent="0.25">
      <c r="A139" s="28">
        <v>1</v>
      </c>
      <c r="B139" s="29" t="s">
        <v>410</v>
      </c>
      <c r="C139" s="18" t="s">
        <v>19</v>
      </c>
      <c r="D139" s="18" t="s">
        <v>36</v>
      </c>
      <c r="E139" s="18" t="s">
        <v>27</v>
      </c>
      <c r="F139" s="18" t="s">
        <v>385</v>
      </c>
      <c r="G139" s="18" t="s">
        <v>411</v>
      </c>
      <c r="H139" s="37">
        <v>20260417</v>
      </c>
      <c r="I139" s="15" t="str">
        <f t="shared" si="15"/>
        <v>Capital</v>
      </c>
      <c r="J139" s="15">
        <f t="shared" si="16"/>
        <v>2</v>
      </c>
      <c r="K139" s="15"/>
      <c r="L139" s="20" t="str">
        <f t="shared" si="17"/>
        <v>https://www.google.com/maps/dir/Catamarca+Sur+664,+San+Juan/Escuela+Liceo+Paula+Albarrac%C3%ADn+de+Sarmiento,+Sta+Fe+Este+252,+J5402+AAF,+San+Juan/@-31.5406219,-68.5305446,1234m/data=!3m2!1e3!4b1!4m14!4m13!1m5!1m1!1s0x9681402690dd76eb:0x4b283f8fe10ce3f3!2m2!1d-68.5293761!2d-31.5426363!1m5!1m1!1s0x96816a9cd9ab55fb:0x554f5eba670a7631!2m2!1d-68.5218799!2d-31.5387555!3e0?entry=ttu&amp;g_ep=EgoyMDI1MDYxNy4wIKXMDSoASAFQAw%3D%3D</v>
      </c>
      <c r="M139" s="21" t="str">
        <f t="shared" si="13"/>
        <v>https://webagentes.canaldirecto.com.ar/incidents/view/830397-6</v>
      </c>
      <c r="N139" s="21" t="str">
        <f t="shared" si="14"/>
        <v>https://webagentes.canaldirecto.com.ar/incidents/view/830397-6</v>
      </c>
      <c r="O139" s="21"/>
      <c r="P139" s="22"/>
    </row>
    <row r="140" spans="1:16" s="23" customFormat="1" ht="21" customHeight="1" thickBot="1" x14ac:dyDescent="0.25">
      <c r="A140" s="16">
        <v>2</v>
      </c>
      <c r="B140" s="17" t="s">
        <v>412</v>
      </c>
      <c r="C140" s="18" t="s">
        <v>19</v>
      </c>
      <c r="D140" s="18" t="s">
        <v>36</v>
      </c>
      <c r="E140" s="18" t="s">
        <v>27</v>
      </c>
      <c r="F140" s="18" t="s">
        <v>413</v>
      </c>
      <c r="G140" s="18" t="s">
        <v>414</v>
      </c>
      <c r="H140" s="37">
        <v>20260417</v>
      </c>
      <c r="I140" s="15" t="str">
        <f t="shared" si="15"/>
        <v>Capital</v>
      </c>
      <c r="J140" s="15">
        <f t="shared" si="16"/>
        <v>2</v>
      </c>
      <c r="K140" s="15"/>
      <c r="L140" s="20" t="str">
        <f t="shared" si="17"/>
        <v>https://www.google.com/maps/dir/Catamarca+Sur+664,+San+Juan/-31.5391449,-68.5240469/@-31.5408963,-68.5293741,617m/data=!3m2!1e3!4b1!4m9!4m8!1m5!1m1!1s0x9681402690dd76eb:0x4b283f8fe10ce3f3!2m2!1d-68.5293761!2d-31.5426363!1m0!3e0?hl=es&amp;entry=ttu&amp;g_ep=EgoyMDI1MDYxNy4wIKXMDSoASAFQAw%3D%3D</v>
      </c>
      <c r="M140" s="21" t="str">
        <f t="shared" si="13"/>
        <v>https://webagentes.canaldirecto.com.ar/incidents/view/830396-7</v>
      </c>
      <c r="N140" s="21" t="str">
        <f t="shared" si="14"/>
        <v>https://webagentes.canaldirecto.com.ar/incidents/view/830396-7</v>
      </c>
      <c r="O140" s="21"/>
      <c r="P140" s="22"/>
    </row>
    <row r="141" spans="1:16" s="23" customFormat="1" ht="21" customHeight="1" thickBot="1" x14ac:dyDescent="0.25">
      <c r="A141" s="24">
        <v>3</v>
      </c>
      <c r="B141" s="25" t="s">
        <v>415</v>
      </c>
      <c r="C141" s="18" t="s">
        <v>19</v>
      </c>
      <c r="D141" s="18" t="s">
        <v>26</v>
      </c>
      <c r="E141" s="18" t="s">
        <v>27</v>
      </c>
      <c r="F141" s="18" t="s">
        <v>416</v>
      </c>
      <c r="G141" s="18" t="s">
        <v>417</v>
      </c>
      <c r="H141" s="37">
        <v>20260417</v>
      </c>
      <c r="I141" s="15" t="e">
        <f t="shared" si="15"/>
        <v>#N/A</v>
      </c>
      <c r="J141" s="15" t="e">
        <f t="shared" si="16"/>
        <v>#N/A</v>
      </c>
      <c r="K141" s="15"/>
      <c r="L141" s="20" t="e">
        <f t="shared" si="17"/>
        <v>#N/A</v>
      </c>
      <c r="M141" s="21" t="str">
        <f t="shared" si="13"/>
        <v>https://webagentes.canaldirecto.com.ar/incidents/view/830323-1</v>
      </c>
      <c r="N141" s="21" t="str">
        <f t="shared" si="14"/>
        <v>https://webagentes.canaldirecto.com.ar/incidents/view/830323-1</v>
      </c>
      <c r="O141" s="21"/>
      <c r="P141" s="22"/>
    </row>
    <row r="142" spans="1:16" s="23" customFormat="1" ht="21" customHeight="1" thickBot="1" x14ac:dyDescent="0.25">
      <c r="A142" s="28">
        <v>1</v>
      </c>
      <c r="B142" s="29" t="s">
        <v>418</v>
      </c>
      <c r="C142" s="18" t="s">
        <v>19</v>
      </c>
      <c r="D142" s="18" t="s">
        <v>20</v>
      </c>
      <c r="E142" s="18" t="s">
        <v>27</v>
      </c>
      <c r="F142" s="18" t="s">
        <v>197</v>
      </c>
      <c r="G142" s="18" t="s">
        <v>198</v>
      </c>
      <c r="H142" s="37">
        <v>20260417</v>
      </c>
      <c r="I142" s="15" t="str">
        <f t="shared" si="15"/>
        <v>Albardón</v>
      </c>
      <c r="J142" s="15">
        <f t="shared" si="16"/>
        <v>36.299999999999997</v>
      </c>
      <c r="K142" s="15">
        <v>36.299999999999997</v>
      </c>
      <c r="L142" s="20" t="str">
        <f t="shared" si="17"/>
        <v>https://www.google.com/maps/dir/Catamarca+Sur+664,+San+Juan/Colegio+Gral.+Don+Toribio+de+Luzuriaga,+Nacional,+J5419+Villa+Gral.+San+Martin,+San+Juan/Catamarca+Sur+664,+San+Juan/@-31.4913565,-68.6012244,19760m/data=!3m2!1e3!4b1!4m20!4m19!1m5!1m1!1s0x9681402690dd76eb:0x4b283f8fe10ce3f3!2m2!1d-68.5293761!2d-31.5426363!1m5!1m1!1s0x9681683633706625:0x1ec70dfe06f0b20e!2m2!1d-68.5019143!2d-31.4280533!1m5!1m1!1s0x9681402690dd76eb:0x4b283f8fe10ce3f3!2m2!1d-68.5293761!2d-31.5426363!3e0?hl=es&amp;entry=ttu&amp;g_ep=EgoyMDI1MDgxMy4wIKXMDSoASAFQAw%3D%3D</v>
      </c>
      <c r="M142" s="21" t="str">
        <f t="shared" si="13"/>
        <v>https://webagentes.canaldirecto.com.ar/incidents/view/830292-2</v>
      </c>
      <c r="N142" s="21" t="str">
        <f t="shared" si="14"/>
        <v>https://webagentes.canaldirecto.com.ar/incidents/view/830292-2</v>
      </c>
      <c r="O142" s="21"/>
      <c r="P142" s="22"/>
    </row>
    <row r="143" spans="1:16" s="23" customFormat="1" ht="21" customHeight="1" thickBot="1" x14ac:dyDescent="0.25">
      <c r="A143" s="28">
        <v>1</v>
      </c>
      <c r="B143" s="29" t="s">
        <v>419</v>
      </c>
      <c r="C143" s="18" t="s">
        <v>19</v>
      </c>
      <c r="D143" s="18" t="s">
        <v>20</v>
      </c>
      <c r="E143" s="18" t="s">
        <v>27</v>
      </c>
      <c r="F143" s="18" t="s">
        <v>167</v>
      </c>
      <c r="G143" s="18" t="s">
        <v>168</v>
      </c>
      <c r="H143" s="37">
        <v>20260417</v>
      </c>
      <c r="I143" s="15" t="str">
        <f t="shared" si="15"/>
        <v>Pocito</v>
      </c>
      <c r="J143" s="15">
        <f t="shared" si="16"/>
        <v>47.8</v>
      </c>
      <c r="K143" s="15"/>
      <c r="L143" s="20" t="str">
        <f t="shared" si="17"/>
        <v>https://www.google.com/maps/dir/Catamarca+Sur+664,+San+Juan/Escuela+Tierra+del+Fuego,+San+Juan/Catamarca+Sur+664,+San+Juan/@-31.6197952,-68.6397336,19733m/data=!3m2!1e3!4b1!4m20!4m19!1m5!1m1!1s0x9681402690dd76eb:0x4b283f8fe10ce3f3!2m2!1d-68.5293761!2d-31.5426363!1m5!1m1!1s0x96813d83ce085a23:0xc633c4def734f971!2m2!1d-68.6008086!2d-31.6868065!1m5!1m1!1s0x9681402690dd76eb:0x4b283f8fe10ce3f3!2m2!1d-68.5293761!2d-31.5426363!3e0?entry=ttu&amp;g_ep=EgoyMDI1MDgxMy4wIKXMDSoASAFQAw%3D%3D</v>
      </c>
      <c r="M143" s="21" t="str">
        <f t="shared" si="13"/>
        <v>https://webagentes.canaldirecto.com.ar/incidents/view/830275-5</v>
      </c>
      <c r="N143" s="21" t="str">
        <f t="shared" si="14"/>
        <v>https://webagentes.canaldirecto.com.ar/incidents/view/830275-5</v>
      </c>
      <c r="O143" s="21"/>
      <c r="P143" s="22"/>
    </row>
    <row r="144" spans="1:16" s="23" customFormat="1" ht="21" customHeight="1" thickBot="1" x14ac:dyDescent="0.25">
      <c r="A144" s="24">
        <v>3</v>
      </c>
      <c r="B144" s="25" t="s">
        <v>420</v>
      </c>
      <c r="C144" s="18" t="s">
        <v>19</v>
      </c>
      <c r="D144" s="18" t="s">
        <v>20</v>
      </c>
      <c r="E144" s="18" t="s">
        <v>27</v>
      </c>
      <c r="F144" s="18" t="s">
        <v>250</v>
      </c>
      <c r="G144" s="18" t="s">
        <v>251</v>
      </c>
      <c r="H144" s="37">
        <v>20260417</v>
      </c>
      <c r="I144" s="15" t="str">
        <f t="shared" si="15"/>
        <v>Capital</v>
      </c>
      <c r="J144" s="15">
        <f t="shared" si="16"/>
        <v>5</v>
      </c>
      <c r="K144" s="15"/>
      <c r="L144" s="20" t="str">
        <f t="shared" si="17"/>
        <v>https://www.google.com/maps/dir/Catamarca+Sur+664,+San+Juan/Escuela+Fray+Justo+Santa+Maria+De+oro,+C.+Juan+B+Alberdi+Oeste+175,+J5400+San+Juan/@-31.5341709,-68.5376641,2469m/data=!3m2!1e3!4b1!4m14!4m13!1m5!1m1!1s0x9681402690dd76eb:0x4b283f8fe10ce3f3!2m2!1d-68.5293761!2d-31.5426363!1m5!1m1!1s0x96816a7ff45e153f:0xf9312e9253b771a7!2m2!1d-68.5244161!2d-31.5258424!3e0?entry=ttu&amp;g_ep=EgoyMDI1MDYxNy4wIKXMDSoASAFQAw%3D%3D</v>
      </c>
      <c r="M144" s="21" t="str">
        <f t="shared" si="13"/>
        <v>https://webagentes.canaldirecto.com.ar/incidents/view/830264-9</v>
      </c>
      <c r="N144" s="21" t="str">
        <f t="shared" si="14"/>
        <v>https://webagentes.canaldirecto.com.ar/incidents/view/830264-9</v>
      </c>
      <c r="O144" s="21"/>
      <c r="P144" s="22"/>
    </row>
    <row r="145" spans="1:16" s="23" customFormat="1" ht="21" customHeight="1" thickBot="1" x14ac:dyDescent="0.25">
      <c r="A145" s="24">
        <v>3</v>
      </c>
      <c r="B145" s="25" t="s">
        <v>421</v>
      </c>
      <c r="C145" s="18" t="s">
        <v>19</v>
      </c>
      <c r="D145" s="18" t="s">
        <v>20</v>
      </c>
      <c r="E145" s="18" t="s">
        <v>27</v>
      </c>
      <c r="F145" s="18" t="s">
        <v>43</v>
      </c>
      <c r="G145" s="18" t="s">
        <v>44</v>
      </c>
      <c r="H145" s="37">
        <v>20260417</v>
      </c>
      <c r="I145" s="15" t="str">
        <f t="shared" si="15"/>
        <v>Capital</v>
      </c>
      <c r="J145" s="15">
        <f t="shared" si="16"/>
        <v>11.8</v>
      </c>
      <c r="K145" s="15"/>
      <c r="L145" s="20" t="str">
        <f t="shared" si="17"/>
        <v>https://www.google.com/maps/dir/Catamarca+Sur+664,+San+Juan/Escuela+Primaria+%22Mar%C3%ADa+Luisa+Villarino+de+Del+Carril%22,+Sgto.+Cabral+Oeste+1722,+J5400+San+Juan/Catamarca+Sur+664,+San+Juan/@-31.5374355,-68.5642218,4938m/data=!3m2!1e3!4b1!4m20!4m19!1m5!1m1!1s0x9681402690dd76eb:0x4b283f8fe10ce3f3!2m2!1d-68.5293761!2d-31.5426363!1m5!1m1!1s0x968141ba3dc83c0b:0x748a603839a43cee!2m2!1d-68.5556233!2d-31.5202168!1m5!1m1!1s0x9681402690dd76eb:0x4b283f8fe10ce3f3!2m2!1d-68.5293761!2d-31.5426363!3e0?entry=ttu&amp;g_ep=EgoyMDI1MDgxMy4wIKXMDSoASAFQAw%3D%3D</v>
      </c>
      <c r="M145" s="21" t="str">
        <f t="shared" si="13"/>
        <v>https://webagentes.canaldirecto.com.ar/incidents/view/830128-8</v>
      </c>
      <c r="N145" s="21" t="str">
        <f t="shared" si="14"/>
        <v>https://webagentes.canaldirecto.com.ar/incidents/view/830128-8</v>
      </c>
      <c r="O145" s="21"/>
      <c r="P145" s="22"/>
    </row>
    <row r="146" spans="1:16" s="23" customFormat="1" ht="21" customHeight="1" thickBot="1" x14ac:dyDescent="0.25">
      <c r="A146" s="24">
        <v>3</v>
      </c>
      <c r="B146" s="25" t="s">
        <v>422</v>
      </c>
      <c r="C146" s="18" t="s">
        <v>19</v>
      </c>
      <c r="D146" s="18" t="s">
        <v>20</v>
      </c>
      <c r="E146" s="18" t="s">
        <v>27</v>
      </c>
      <c r="F146" s="18" t="s">
        <v>205</v>
      </c>
      <c r="G146" s="18" t="s">
        <v>206</v>
      </c>
      <c r="H146" s="37">
        <v>20260417</v>
      </c>
      <c r="I146" s="15" t="e">
        <f t="shared" si="15"/>
        <v>#N/A</v>
      </c>
      <c r="J146" s="15" t="e">
        <f t="shared" si="16"/>
        <v>#N/A</v>
      </c>
      <c r="K146" s="15"/>
      <c r="L146" s="20" t="e">
        <f t="shared" si="17"/>
        <v>#N/A</v>
      </c>
      <c r="M146" s="21" t="str">
        <f t="shared" si="13"/>
        <v>https://webagentes.canaldirecto.com.ar/incidents/view/830114-5</v>
      </c>
      <c r="N146" s="21" t="str">
        <f t="shared" si="14"/>
        <v>https://webagentes.canaldirecto.com.ar/incidents/view/830114-5</v>
      </c>
      <c r="O146" s="21"/>
      <c r="P146" s="22"/>
    </row>
    <row r="147" spans="1:16" s="23" customFormat="1" ht="21" customHeight="1" thickBot="1" x14ac:dyDescent="0.25">
      <c r="A147" s="24">
        <v>3</v>
      </c>
      <c r="B147" s="25" t="s">
        <v>423</v>
      </c>
      <c r="C147" s="18" t="s">
        <v>19</v>
      </c>
      <c r="D147" s="18" t="s">
        <v>20</v>
      </c>
      <c r="E147" s="18" t="s">
        <v>27</v>
      </c>
      <c r="F147" s="18" t="s">
        <v>424</v>
      </c>
      <c r="G147" s="18" t="s">
        <v>425</v>
      </c>
      <c r="H147" s="37">
        <v>20260417</v>
      </c>
      <c r="I147" s="15" t="str">
        <f t="shared" si="15"/>
        <v>Albardón</v>
      </c>
      <c r="J147" s="15">
        <f t="shared" si="16"/>
        <v>37.5</v>
      </c>
      <c r="K147" s="15">
        <v>37.5</v>
      </c>
      <c r="L147" s="20" t="str">
        <f t="shared" si="17"/>
        <v>https://www.google.com/maps/dir/Catamarca+Sur+664,+San+Juan/Escuela+Villicum,+Albard%C3%B3n,+San+Juan/Catamarca+Sur+664,+San+Juan/@-31.4880747,-68.6080787,19761m/data=!3m2!1e3!4b1!4m20!4m19!1m5!1m1!1s0x9681402690dd76eb:0x4b283f8fe10ce3f3!2m2!1d-68.5293761!2d-31.5426363!1m5!1m1!1s0x968142957d87a17b:0xe0191f9b15d24db5!2m2!1d-68.5462102!2d-31.4221549!1m5!1m1!1s0x9681402690dd76eb:0x4b283f8fe10ce3f3!2m2!1d-68.5293761!2d-31.5426363!3e0?hl=es&amp;entry=ttu&amp;g_ep=EgoyMDI1MDgxMy4wIKXMDSoASAFQAw%3D%3D</v>
      </c>
      <c r="M147" s="21" t="str">
        <f t="shared" si="13"/>
        <v>https://webagentes.canaldirecto.com.ar/incidents/view/830113-6</v>
      </c>
      <c r="N147" s="21" t="str">
        <f t="shared" si="14"/>
        <v>https://webagentes.canaldirecto.com.ar/incidents/view/830113-6</v>
      </c>
      <c r="O147" s="21"/>
      <c r="P147" s="22"/>
    </row>
    <row r="148" spans="1:16" s="23" customFormat="1" ht="21" customHeight="1" thickBot="1" x14ac:dyDescent="0.25">
      <c r="A148" s="24">
        <v>3</v>
      </c>
      <c r="B148" s="25" t="s">
        <v>426</v>
      </c>
      <c r="C148" s="18" t="s">
        <v>19</v>
      </c>
      <c r="D148" s="18" t="s">
        <v>20</v>
      </c>
      <c r="E148" s="18" t="s">
        <v>27</v>
      </c>
      <c r="F148" s="18" t="s">
        <v>161</v>
      </c>
      <c r="G148" s="18" t="s">
        <v>427</v>
      </c>
      <c r="H148" s="37">
        <v>20260417</v>
      </c>
      <c r="I148" s="15" t="e">
        <f t="shared" si="15"/>
        <v>#N/A</v>
      </c>
      <c r="J148" s="15" t="e">
        <f t="shared" si="16"/>
        <v>#N/A</v>
      </c>
      <c r="K148" s="15"/>
      <c r="L148" s="20" t="e">
        <f t="shared" si="17"/>
        <v>#N/A</v>
      </c>
      <c r="M148" s="21" t="str">
        <f t="shared" si="13"/>
        <v>https://webagentes.canaldirecto.com.ar/incidents/view/830105-7</v>
      </c>
      <c r="N148" s="21" t="str">
        <f t="shared" si="14"/>
        <v>https://webagentes.canaldirecto.com.ar/incidents/view/830105-7</v>
      </c>
      <c r="O148" s="21"/>
      <c r="P148" s="22"/>
    </row>
    <row r="149" spans="1:16" s="23" customFormat="1" ht="21" customHeight="1" thickBot="1" x14ac:dyDescent="0.25">
      <c r="A149" s="24">
        <v>3</v>
      </c>
      <c r="B149" s="25" t="s">
        <v>428</v>
      </c>
      <c r="C149" s="18" t="s">
        <v>19</v>
      </c>
      <c r="D149" s="18" t="s">
        <v>20</v>
      </c>
      <c r="E149" s="18" t="s">
        <v>27</v>
      </c>
      <c r="F149" s="18" t="s">
        <v>429</v>
      </c>
      <c r="G149" s="18" t="s">
        <v>430</v>
      </c>
      <c r="H149" s="37">
        <v>20260417</v>
      </c>
      <c r="I149" s="15" t="str">
        <f t="shared" si="15"/>
        <v>Rivadavia</v>
      </c>
      <c r="J149" s="15">
        <f t="shared" si="16"/>
        <v>12.5</v>
      </c>
      <c r="K149" s="15"/>
      <c r="L149" s="20" t="str">
        <f t="shared" si="17"/>
        <v>https://www.google.com/maps/dir/Catamarca+Sur+664,+San+Juan/E.N.I.+N%C2%BA6,+J5400+Rivadavia,+San+Juan/Catamarca+Sur+664,+San+Juan/@-31.5369923,-68.5755827,4938m/data=!3m2!1e3!4b1!4m20!4m19!1m5!1m1!1s0x9681402690dd76eb:0x4b283f8fe10ce3f3!2m2!1d-68.5293761!2d-31.5426363!1m5!1m1!1s0x968141044133ad11:0x820ca7d67a3f7e3e!2m2!1d-68.5804023!2d-31.5289677!1m5!1m1!1s0x9681402690dd76eb:0x4b283f8fe10ce3f3!2m2!1d-68.5293761!2d-31.5426363!3e0?hl=es&amp;entry=ttu&amp;g_ep=EgoyMDI1MDgxMy4wIKXMDSoASAFQAw%3D%3D</v>
      </c>
      <c r="M149" s="21" t="str">
        <f t="shared" si="13"/>
        <v>https://webagentes.canaldirecto.com.ar/incidents/view/830013-7</v>
      </c>
      <c r="N149" s="21" t="str">
        <f t="shared" si="14"/>
        <v>https://webagentes.canaldirecto.com.ar/incidents/view/830013-7</v>
      </c>
      <c r="O149" s="21"/>
      <c r="P149" s="22"/>
    </row>
    <row r="150" spans="1:16" s="23" customFormat="1" ht="21" customHeight="1" thickBot="1" x14ac:dyDescent="0.25">
      <c r="A150" s="24">
        <v>3</v>
      </c>
      <c r="B150" s="25" t="s">
        <v>431</v>
      </c>
      <c r="C150" s="18" t="s">
        <v>19</v>
      </c>
      <c r="D150" s="18" t="s">
        <v>20</v>
      </c>
      <c r="E150" s="18" t="s">
        <v>27</v>
      </c>
      <c r="F150" s="18" t="s">
        <v>256</v>
      </c>
      <c r="G150" s="18" t="s">
        <v>257</v>
      </c>
      <c r="H150" s="37">
        <v>20260417</v>
      </c>
      <c r="I150" s="15" t="str">
        <f t="shared" si="15"/>
        <v>Capital</v>
      </c>
      <c r="J150" s="15">
        <f t="shared" si="16"/>
        <v>1.7</v>
      </c>
      <c r="K150" s="15"/>
      <c r="L150" s="20" t="str">
        <f t="shared" si="17"/>
        <v>https://www.google.com/maps/dir/Catamarca+Sur+664,+San+Juan/E.E.E.+ARA+San+Juan+(S.A.R.M.),+J5402ECU,+Domingo+Faustino+Sarmiento+Sur+1001-1099,+J5402ECU+San+Juan/Catamarca+Sur+664,+San+Juan/@-31.544626,-68.534557,1234m/data=!3m2!1e3!4b1!4m20!4m19!1m5!1m1!1s0x9681402690dd76eb:0x4b283f8fe10ce3f3!2m2!1d-68.5293761!2d-31.5426363!1m5!1m1!1s0x96814021aac8fbd9:0xafdfb52e2af629c8!2m2!1d-68.5280374!2d-31.547306!1m5!1m1!1s0x9681402690dd76eb:0x4b283f8fe10ce3f3!2m2!1d-68.5293761!2d-31.5426363!3e0?entry=ttu&amp;g_ep=EgoyMDI1MDgxMy4wIKXMDSoASAFQAw%3D%3D</v>
      </c>
      <c r="M150" s="21" t="str">
        <f t="shared" si="13"/>
        <v>https://webagentes.canaldirecto.com.ar/incidents/view/829985-9</v>
      </c>
      <c r="N150" s="21" t="str">
        <f t="shared" si="14"/>
        <v>https://webagentes.canaldirecto.com.ar/incidents/view/829985-9</v>
      </c>
      <c r="O150" s="21"/>
      <c r="P150" s="22"/>
    </row>
    <row r="151" spans="1:16" s="23" customFormat="1" ht="21" customHeight="1" thickBot="1" x14ac:dyDescent="0.25">
      <c r="A151" s="28">
        <v>1</v>
      </c>
      <c r="B151" s="29" t="s">
        <v>432</v>
      </c>
      <c r="C151" s="18" t="s">
        <v>19</v>
      </c>
      <c r="D151" s="18" t="s">
        <v>20</v>
      </c>
      <c r="E151" s="18" t="s">
        <v>27</v>
      </c>
      <c r="F151" s="18" t="s">
        <v>433</v>
      </c>
      <c r="G151" s="18" t="s">
        <v>434</v>
      </c>
      <c r="H151" s="37">
        <v>20260417</v>
      </c>
      <c r="I151" s="15" t="str">
        <f t="shared" si="15"/>
        <v>Caucete</v>
      </c>
      <c r="J151" s="15">
        <f t="shared" si="16"/>
        <v>51.6</v>
      </c>
      <c r="K151" s="15">
        <v>51.6</v>
      </c>
      <c r="L151" s="20" t="str">
        <f t="shared" si="17"/>
        <v>google.com/maps/dir/Catamarca+Sur,+San+Juan/Escuela+Pedro+Echagüe,+Nueve+de+Julio,+San+Juan/Catamarca+Sur,+San+Juan/@-31.582907,-68.5023662,19740m/data=!3m1!1e3!4m20!4m19!1m5!1m1!1s0x968140269756b7e1:0x3c38eb6d66eb45d!2m2!1d-68.5295918!2d-31.5427459!1m5!1m1!1s0x96810e0b6db41403:0x17770da403a7d594!2m2!1d-68.3132683!2d-31.6239324!1m5!1m1!1s0x968140269756b7e1:0x3c38eb6d66eb45d!2m2!1d-68.5295918!2d-31.5427459!3e0?hl=es&amp;entry=ttu&amp;g_ep=EgoyMDI1MTIwOS4wIKXMDSoASAFQAw%3D%3D</v>
      </c>
      <c r="M151" s="21" t="str">
        <f t="shared" si="13"/>
        <v>https://webagentes.canaldirecto.com.ar/incidents/view/829979-8</v>
      </c>
      <c r="N151" s="21" t="str">
        <f t="shared" si="14"/>
        <v>https://webagentes.canaldirecto.com.ar/incidents/view/829979-8</v>
      </c>
      <c r="O151" s="21"/>
      <c r="P151" s="22"/>
    </row>
    <row r="152" spans="1:16" s="23" customFormat="1" ht="21" customHeight="1" thickBot="1" x14ac:dyDescent="0.25">
      <c r="A152" s="24">
        <v>3</v>
      </c>
      <c r="B152" s="25" t="s">
        <v>435</v>
      </c>
      <c r="C152" s="18" t="s">
        <v>19</v>
      </c>
      <c r="D152" s="18" t="s">
        <v>20</v>
      </c>
      <c r="E152" s="18" t="s">
        <v>27</v>
      </c>
      <c r="F152" s="18" t="s">
        <v>208</v>
      </c>
      <c r="G152" s="18" t="s">
        <v>209</v>
      </c>
      <c r="H152" s="37">
        <v>20260417</v>
      </c>
      <c r="I152" s="15" t="str">
        <f t="shared" si="15"/>
        <v>Rawson</v>
      </c>
      <c r="J152" s="15">
        <f t="shared" si="16"/>
        <v>10.6</v>
      </c>
      <c r="K152" s="15"/>
      <c r="L152" s="20" t="str">
        <f t="shared" si="17"/>
        <v>https://www.google.com/maps/dir/Catamarca+Sur+664,+San+Juan/Colegio+Antonio+de+la+Torre,+Blvd.+Sarmiento+Oeste+1029,+J5425+Villa+Krause,+San+Juan/Catamarca+Sur+664,+San+Juan/@-31.5602868,-68.5583604,4936m/data=!3m1!1e3!4m20!4m19!1m5!1m1!1s0x9681402690dd76eb:0x4b283f8fe10ce3f3!2m2!1d-68.5293761!2d-31.5426363!1m5!1m1!1s0x96813f8b664fdf6b:0x5bc4a362718254ea!2m2!1d-68.5504471!2d-31.5797098!1m5!1m1!1s0x9681402690dd76eb:0x4b283f8fe10ce3f3!2m2!1d-68.5293761!2d-31.5426363!3e0?entry=ttu&amp;g_ep=EgoyMDI1MDgxMy4wIKXMDSoASAFQAw%3D%3D</v>
      </c>
      <c r="M152" s="21" t="str">
        <f t="shared" si="13"/>
        <v>https://webagentes.canaldirecto.com.ar/incidents/view/829876-2</v>
      </c>
      <c r="N152" s="21" t="str">
        <f t="shared" si="14"/>
        <v>https://webagentes.canaldirecto.com.ar/incidents/view/829876-2</v>
      </c>
      <c r="O152" s="21"/>
      <c r="P152" s="22"/>
    </row>
    <row r="153" spans="1:16" s="23" customFormat="1" ht="21" customHeight="1" thickBot="1" x14ac:dyDescent="0.25">
      <c r="A153" s="34">
        <v>4</v>
      </c>
      <c r="B153" s="19" t="s">
        <v>436</v>
      </c>
      <c r="C153" s="18" t="s">
        <v>19</v>
      </c>
      <c r="D153" s="18" t="s">
        <v>20</v>
      </c>
      <c r="E153" s="18" t="s">
        <v>27</v>
      </c>
      <c r="F153" s="18" t="s">
        <v>437</v>
      </c>
      <c r="G153" s="18" t="s">
        <v>438</v>
      </c>
      <c r="H153" s="38">
        <v>20260420</v>
      </c>
      <c r="I153" s="15" t="str">
        <f t="shared" si="15"/>
        <v>Valle Fertil</v>
      </c>
      <c r="J153" s="15">
        <f t="shared" si="16"/>
        <v>517</v>
      </c>
      <c r="K153" s="15">
        <v>517</v>
      </c>
      <c r="L153" s="20" t="str">
        <f t="shared" si="17"/>
        <v>https://www.google.com/maps/dir/Catamarca+Sur+664,+San+Juan/Escuela+Doctora+Julieta+Lanteri,+La+Majadita,+San+Juan/Catamarca+Sur+664,+San+Juan/@-31.1929937,-68.5303571,158581m/data=!3m2!1e3!4b1!4m20!4m19!1m5!1m1!1s0x9681402690dd76eb:0x4b283f8fe10ce3f3!2m2!1d-68.5293761!2d-31.5426363!1m5!1m1!1s0x968273fd7b83661d:0x8ef1bd4513b952b3!2m2!1d-67.5056949!2d-30.681924!1m5!1m1!1s0x9681402690dd76eb:0x4b283f8fe10ce3f3!2m2!1d-68.5293761!2d-31.5426363!3e0?hl=es&amp;entry=ttu&amp;g_ep=EgoyMDI1MDczMC4wIKXMDSoASAFQAw%3D%3D</v>
      </c>
      <c r="M153" s="21" t="str">
        <f t="shared" si="13"/>
        <v>https://webagentes.canaldirecto.com.ar/incidents/view/830628-3</v>
      </c>
      <c r="N153" s="21" t="str">
        <f t="shared" si="14"/>
        <v>https://webagentes.canaldirecto.com.ar/incidents/view/830628-3</v>
      </c>
      <c r="O153" s="21"/>
      <c r="P153" s="22"/>
    </row>
    <row r="154" spans="1:16" s="23" customFormat="1" ht="21" customHeight="1" thickBot="1" x14ac:dyDescent="0.25">
      <c r="A154" s="16">
        <v>2</v>
      </c>
      <c r="B154" s="17" t="s">
        <v>439</v>
      </c>
      <c r="C154" s="18" t="s">
        <v>19</v>
      </c>
      <c r="D154" s="18" t="s">
        <v>20</v>
      </c>
      <c r="E154" s="18" t="s">
        <v>27</v>
      </c>
      <c r="F154" s="18" t="s">
        <v>155</v>
      </c>
      <c r="G154" s="18" t="s">
        <v>156</v>
      </c>
      <c r="H154" s="38">
        <v>20260420</v>
      </c>
      <c r="I154" s="15" t="e">
        <f t="shared" si="15"/>
        <v>#N/A</v>
      </c>
      <c r="J154" s="15" t="e">
        <f t="shared" si="16"/>
        <v>#N/A</v>
      </c>
      <c r="K154" s="15"/>
      <c r="L154" s="20" t="e">
        <f t="shared" si="17"/>
        <v>#N/A</v>
      </c>
      <c r="M154" s="21" t="str">
        <f t="shared" si="13"/>
        <v>https://webagentes.canaldirecto.com.ar/incidents/view/830503-5</v>
      </c>
      <c r="N154" s="21" t="str">
        <f t="shared" si="14"/>
        <v>https://webagentes.canaldirecto.com.ar/incidents/view/830503-5</v>
      </c>
      <c r="O154" s="21"/>
      <c r="P154" s="22"/>
    </row>
    <row r="155" spans="1:16" s="23" customFormat="1" ht="21" customHeight="1" thickBot="1" x14ac:dyDescent="0.25">
      <c r="A155" s="16">
        <v>2</v>
      </c>
      <c r="B155" s="17" t="s">
        <v>440</v>
      </c>
      <c r="C155" s="18" t="s">
        <v>19</v>
      </c>
      <c r="D155" s="18" t="s">
        <v>20</v>
      </c>
      <c r="E155" s="18" t="s">
        <v>27</v>
      </c>
      <c r="F155" s="18" t="s">
        <v>155</v>
      </c>
      <c r="G155" s="18" t="s">
        <v>441</v>
      </c>
      <c r="H155" s="38">
        <v>20260420</v>
      </c>
      <c r="I155" s="15" t="str">
        <f t="shared" si="15"/>
        <v>Rawson</v>
      </c>
      <c r="J155" s="15">
        <f t="shared" si="16"/>
        <v>8.8000000000000007</v>
      </c>
      <c r="K155" s="15"/>
      <c r="L155" s="20" t="str">
        <f t="shared" si="17"/>
        <v>https://www.google.com/maps/dir/Catamarca+Sur,+San+Juan/Escuela+Hogar+%22Jos%C3%A9+Manuel+Estrada%22,+J5425+Villa+Krause,+San+Juan/Catamarca+Sur,+San+Juan/@-31.5562638,-68.5472811,4937m/data=!3m2!1e3!4b1!4m20!4m19!1m5!1m1!1s0x968140269756b7e1:0x3c38eb6d66eb45d!2m2!1d-68.5295918!2d-31.5427459!1m5!1m1!1s0x96814000b15bf8d9:0xcb9eae0fd9e699d2!2m2!1d-68.530994!2d-31.5702997!1m5!1m1!1s0x968140269756b7e1:0x3c38eb6d66eb45d!2m2!1d-68.5295918!2d-31.5427459!3e0?hl=es&amp;entry=ttu&amp;g_ep=EgoyMDI1MTAwOC4wIKXMDSoASAFQAw%3D%3D</v>
      </c>
      <c r="M155" s="21" t="str">
        <f t="shared" si="13"/>
        <v>https://webagentes.canaldirecto.com.ar/incidents/view/830502-6</v>
      </c>
      <c r="N155" s="21" t="str">
        <f t="shared" si="14"/>
        <v>https://webagentes.canaldirecto.com.ar/incidents/view/830502-6</v>
      </c>
      <c r="O155" s="21"/>
      <c r="P155" s="22"/>
    </row>
    <row r="156" spans="1:16" s="23" customFormat="1" ht="21" customHeight="1" thickBot="1" x14ac:dyDescent="0.25">
      <c r="A156" s="28">
        <v>1</v>
      </c>
      <c r="B156" s="29" t="s">
        <v>442</v>
      </c>
      <c r="C156" s="18" t="s">
        <v>19</v>
      </c>
      <c r="D156" s="18" t="s">
        <v>20</v>
      </c>
      <c r="E156" s="18" t="s">
        <v>27</v>
      </c>
      <c r="F156" s="18" t="s">
        <v>64</v>
      </c>
      <c r="G156" s="18" t="s">
        <v>65</v>
      </c>
      <c r="H156" s="38">
        <v>20260420</v>
      </c>
      <c r="I156" s="15" t="str">
        <f t="shared" si="15"/>
        <v>Santa Lucía</v>
      </c>
      <c r="J156" s="15">
        <f t="shared" si="16"/>
        <v>14.1</v>
      </c>
      <c r="K156" s="15"/>
      <c r="L156" s="20" t="str">
        <f t="shared" si="17"/>
        <v>https://www.google.com/maps/dir/Catamarca+Sur+664,+San+Juan/Escuela+Gral.+Balcarce,+J5411+Santa+Luc%C3%ADa,+San+Juan/Catamarca+Sur+664,+San+Juan/@-31.5387947,-68.5192985,4937m/data=!3m2!1e3!4b1!4m20!4m19!1m5!1m1!1s0x9681402690dd76eb:0x4b283f8fe10ce3f3!2m2!1d-68.5293761!2d-31.5426363!1m5!1m1!1s0x96816b198077af87:0x740eaf82e198a6fa!2m2!1d-68.4677311!2d-31.5336557!1m5!1m1!1s0x9681402690dd76eb:0x4b283f8fe10ce3f3!2m2!1d-68.5293761!2d-31.5426363!3e0?hl=es&amp;entry=ttu&amp;g_ep=EgoyMDI1MDczMC4wIKXMDSoASAFQAw%3D%3D</v>
      </c>
      <c r="M156" s="21" t="str">
        <f t="shared" si="13"/>
        <v>https://webagentes.canaldirecto.com.ar/incidents/view/830461-0</v>
      </c>
      <c r="N156" s="21" t="str">
        <f t="shared" si="14"/>
        <v>https://webagentes.canaldirecto.com.ar/incidents/view/830461-0</v>
      </c>
      <c r="O156" s="21"/>
      <c r="P156" s="22"/>
    </row>
    <row r="157" spans="1:16" s="23" customFormat="1" ht="21" customHeight="1" thickBot="1" x14ac:dyDescent="0.25">
      <c r="A157" s="28">
        <v>1</v>
      </c>
      <c r="B157" s="29" t="s">
        <v>443</v>
      </c>
      <c r="C157" s="18" t="s">
        <v>19</v>
      </c>
      <c r="D157" s="18" t="s">
        <v>20</v>
      </c>
      <c r="E157" s="18" t="s">
        <v>27</v>
      </c>
      <c r="F157" s="18" t="s">
        <v>444</v>
      </c>
      <c r="G157" s="18" t="s">
        <v>445</v>
      </c>
      <c r="H157" s="38">
        <v>20260420</v>
      </c>
      <c r="I157" s="15" t="str">
        <f t="shared" si="15"/>
        <v>25 de Mayo.</v>
      </c>
      <c r="J157" s="15">
        <f t="shared" si="16"/>
        <v>73.5</v>
      </c>
      <c r="K157" s="15">
        <v>73.5</v>
      </c>
      <c r="L157" s="20" t="str">
        <f t="shared" si="17"/>
        <v>https://www.google.com/maps/dir/Catamarca+Sur+664,+San+Juan/Escuela+Provincia+de+San+Juan,+25+de+Mayo+y+Mitre+S%2FN,+Villa+Santa+Rosa,+Dpto,+San+Juan/Catamarca+Sur+664,+San+Juan/@-31.6438039,-68.584671,39455m/data=!3m2!1e3!4b1!4m20!4m19!1m5!1m1!1s0x9681402690dd76eb:0x4b283f8fe10ce3f3!2m2!1d-68.5293761!2d-31.5426363!1m5!1m1!1s0x96810596e695f093:0x4bee11bf244e827f!2m2!1d-68.3143901!2d-31.7470534!1m5!1m1!1s0x9681402690dd76eb:0x4b283f8fe10ce3f3!2m2!1d-68.5293761!2d-31.5426363!3e0?hl=es&amp;entry=ttu&amp;g_ep=EgoyMDI1MDgxMy4wIKXMDSoASAFQAw%3D%3D</v>
      </c>
      <c r="M157" s="21" t="str">
        <f t="shared" si="13"/>
        <v>https://webagentes.canaldirecto.com.ar/incidents/view/829804-5</v>
      </c>
      <c r="N157" s="21" t="str">
        <f t="shared" si="14"/>
        <v>https://webagentes.canaldirecto.com.ar/incidents/view/829804-5</v>
      </c>
      <c r="O157" s="21"/>
      <c r="P157" s="22"/>
    </row>
    <row r="158" spans="1:16" s="23" customFormat="1" ht="21" customHeight="1" thickBot="1" x14ac:dyDescent="0.25">
      <c r="A158" s="28">
        <v>1</v>
      </c>
      <c r="B158" s="29" t="s">
        <v>446</v>
      </c>
      <c r="C158" s="18" t="s">
        <v>19</v>
      </c>
      <c r="D158" s="18" t="s">
        <v>36</v>
      </c>
      <c r="E158" s="18" t="s">
        <v>27</v>
      </c>
      <c r="F158" s="18" t="s">
        <v>447</v>
      </c>
      <c r="G158" s="18" t="s">
        <v>448</v>
      </c>
      <c r="H158" s="19">
        <v>20260421</v>
      </c>
      <c r="I158" s="15" t="str">
        <f t="shared" si="15"/>
        <v>Jachal</v>
      </c>
      <c r="J158" s="15">
        <f t="shared" si="16"/>
        <v>331</v>
      </c>
      <c r="K158" s="15"/>
      <c r="L158" s="20" t="str">
        <f t="shared" si="17"/>
        <v>https://www.google.com/maps/dir/Catamarca+Sur+664,+San+Juan/Escuela+Pedro+Bonifacio+Palacios,+RP456,+Tamber%C3%ADas,+San+Juan/Catamarca+Sur+664,+San+Juan/@-30.8583042,-69.9458588,318278m/data=!3m1!1e3!4m20!4m19!1m5!1m1!1s0x9681402690dd76eb:0x4b283f8fe10ce3f3!2m2!1d-68.5293761!2d-31.5426363!1m5!1m1!1s0x96835debdd40f1c9:0x5d4608612b127702!2m2!1d-68.7256993!2d-30.1886655!1m5!1m1!1s0x9681402690dd76eb:0x4b283f8fe10ce3f3!2m2!1d-68.5293761!2d-31.5426363!3e0?hl=es&amp;entry=ttu&amp;g_ep=EgoyMDI1MDgxMy4wIKXMDSoASAFQAw%3D%3D</v>
      </c>
      <c r="M158" s="21" t="str">
        <f t="shared" si="13"/>
        <v>https://webagentes.canaldirecto.com.ar/incidents/view/830808-7</v>
      </c>
      <c r="N158" s="21" t="str">
        <f t="shared" si="14"/>
        <v>https://webagentes.canaldirecto.com.ar/incidents/view/830808-7</v>
      </c>
      <c r="O158" s="21"/>
      <c r="P158" s="22"/>
    </row>
    <row r="159" spans="1:16" s="23" customFormat="1" ht="21" customHeight="1" thickBot="1" x14ac:dyDescent="0.25">
      <c r="A159" s="28">
        <v>1</v>
      </c>
      <c r="B159" s="29" t="s">
        <v>449</v>
      </c>
      <c r="C159" s="18" t="s">
        <v>19</v>
      </c>
      <c r="D159" s="18" t="s">
        <v>36</v>
      </c>
      <c r="E159" s="18" t="s">
        <v>27</v>
      </c>
      <c r="F159" s="18" t="s">
        <v>450</v>
      </c>
      <c r="G159" s="18" t="s">
        <v>451</v>
      </c>
      <c r="H159" s="19">
        <v>20260421</v>
      </c>
      <c r="I159" s="15" t="str">
        <f t="shared" si="15"/>
        <v>Jachal</v>
      </c>
      <c r="J159" s="15">
        <f t="shared" si="16"/>
        <v>345</v>
      </c>
      <c r="K159" s="15"/>
      <c r="L159" s="20" t="str">
        <f t="shared" si="17"/>
        <v>https://www.google.com/maps/dir/Catamarca+Sur+664,+San+Juan/Escuela+Provincia+de+Chubut,+Villa+San+Isidro,+San+Juan/Catamarca+Sur+664,+San+Juan/@-30.834189,-69.9458601,318358m/data=!3m1!1e3!4m20!4m19!1m5!1m1!1s0x9681402690dd76eb:0x4b283f8fe10ce3f3!2m2!1d-68.5293761!2d-31.5426363!1m5!1m1!1s0x968343c45a2af58b:0x7fc2ad3ddc78e93c!2m2!1d-68.7000846!2d-30.1404309!1m5!1m1!1s0x9681402690dd76eb:0x4b283f8fe10ce3f3!2m2!1d-68.5293761!2d-31.5426363!3e0?entry=ttu&amp;g_ep=EgoyMDI1MDgxMy4wIKXMDSoASAFQAw%3D%3D</v>
      </c>
      <c r="M159" s="21" t="str">
        <f t="shared" si="13"/>
        <v>https://webagentes.canaldirecto.com.ar/incidents/view/830807-8</v>
      </c>
      <c r="N159" s="21" t="str">
        <f t="shared" si="14"/>
        <v>https://webagentes.canaldirecto.com.ar/incidents/view/830807-8</v>
      </c>
      <c r="O159" s="21"/>
      <c r="P159" s="22"/>
    </row>
    <row r="160" spans="1:16" s="23" customFormat="1" ht="21" customHeight="1" thickBot="1" x14ac:dyDescent="0.25">
      <c r="A160" s="28">
        <v>1</v>
      </c>
      <c r="B160" s="29" t="s">
        <v>452</v>
      </c>
      <c r="C160" s="18" t="s">
        <v>19</v>
      </c>
      <c r="D160" s="18" t="s">
        <v>36</v>
      </c>
      <c r="E160" s="18" t="s">
        <v>27</v>
      </c>
      <c r="F160" s="18" t="s">
        <v>453</v>
      </c>
      <c r="G160" s="18" t="s">
        <v>454</v>
      </c>
      <c r="H160" s="19">
        <v>20260421</v>
      </c>
      <c r="I160" s="15" t="str">
        <f t="shared" si="15"/>
        <v>Jachal</v>
      </c>
      <c r="J160" s="15">
        <f t="shared" si="16"/>
        <v>349</v>
      </c>
      <c r="K160" s="15"/>
      <c r="L160" s="20" t="str">
        <f t="shared" si="17"/>
        <v>https://www.google.com/maps/dir/Catamarca+Sur+664,+San+Juan/Alejandro+Fleming,+J%C3%A1chal,+San+Juan/Catamarca+Sur+664,+San+Juan/@-30.3000218,-69.0550579,84281m/data=!3m1!1e3!4m20!4m19!1m5!1m1!1s0x9681402690dd76eb:0x4b283f8fe10ce3f3!2m2!1d-68.5293761!2d-31.5426363!1m5!1m1!1s0x96835d06904b1b75:0xeb613218b9a14119!2m2!1d-68.7210546!2d-30.1215004!1m5!1m1!1s0x9681402690dd76eb:0x4b283f8fe10ce3f3!2m2!1d-68.5293761!2d-31.5426363!3e0?entry=ttu&amp;g_ep=EgoyMDI1MDgxMy4wIKXMDSoASAFQAw%3D%3D</v>
      </c>
      <c r="M160" s="21" t="str">
        <f t="shared" si="13"/>
        <v>https://webagentes.canaldirecto.com.ar/incidents/view/830806-9</v>
      </c>
      <c r="N160" s="21" t="str">
        <f t="shared" si="14"/>
        <v>https://webagentes.canaldirecto.com.ar/incidents/view/830806-9</v>
      </c>
      <c r="O160" s="21"/>
      <c r="P160" s="22"/>
    </row>
    <row r="161" spans="1:16" s="23" customFormat="1" ht="21" customHeight="1" thickBot="1" x14ac:dyDescent="0.25">
      <c r="A161" s="28">
        <v>1</v>
      </c>
      <c r="B161" s="29" t="s">
        <v>455</v>
      </c>
      <c r="C161" s="18" t="s">
        <v>19</v>
      </c>
      <c r="D161" s="18" t="s">
        <v>36</v>
      </c>
      <c r="E161" s="18" t="s">
        <v>27</v>
      </c>
      <c r="F161" s="18" t="s">
        <v>456</v>
      </c>
      <c r="G161" s="18" t="s">
        <v>457</v>
      </c>
      <c r="H161" s="19">
        <v>20260421</v>
      </c>
      <c r="I161" s="15" t="str">
        <f t="shared" si="15"/>
        <v>Jáchal</v>
      </c>
      <c r="J161" s="15">
        <f t="shared" si="16"/>
        <v>351</v>
      </c>
      <c r="K161" s="15"/>
      <c r="L161" s="20" t="str">
        <f t="shared" si="17"/>
        <v>https://www.google.com/maps/dir/Catamarca+Sur+664,+San+Juan/Escuela.+Ruben+Dario,+El+Medano,+San+Juan/Catamarca+Sur+664,+San+Juan/@-30.8255786,-69.9460024,318386m/data=!3m1!1e3!4m20!4m19!1m5!1m1!1s0x9681402690dd76eb:0x4b283f8fe10ce3f3!2m2!1d-68.5293761!2d-31.5426363!1m5!1m1!1s0x968343673dfc4e1f:0xa208fc61792dce8!2m2!1d-68.6815315!2d-30.1266837!1m5!1m1!1s0x9681402690dd76eb:0x4b283f8fe10ce3f3!2m2!1d-68.5293761!2d-31.5426363!3e0?hl=es&amp;entry=ttu&amp;g_ep=EgoyMDI1MDgxMy4wIKXMDSoASAFQAw%3D%3D</v>
      </c>
      <c r="M161" s="21" t="str">
        <f t="shared" si="13"/>
        <v>https://webagentes.canaldirecto.com.ar/incidents/view/830805-0</v>
      </c>
      <c r="N161" s="21" t="str">
        <f t="shared" si="14"/>
        <v>https://webagentes.canaldirecto.com.ar/incidents/view/830805-0</v>
      </c>
      <c r="O161" s="21"/>
      <c r="P161" s="22"/>
    </row>
    <row r="162" spans="1:16" s="23" customFormat="1" ht="21" customHeight="1" thickBot="1" x14ac:dyDescent="0.25">
      <c r="A162" s="28">
        <v>1</v>
      </c>
      <c r="B162" s="29" t="s">
        <v>458</v>
      </c>
      <c r="C162" s="18" t="s">
        <v>19</v>
      </c>
      <c r="D162" s="18" t="s">
        <v>36</v>
      </c>
      <c r="E162" s="18" t="s">
        <v>27</v>
      </c>
      <c r="F162" s="18" t="s">
        <v>459</v>
      </c>
      <c r="G162" s="18" t="s">
        <v>460</v>
      </c>
      <c r="H162" s="19">
        <v>20260421</v>
      </c>
      <c r="I162" s="15" t="str">
        <f t="shared" si="15"/>
        <v>Jachal (La Falda)</v>
      </c>
      <c r="J162" s="15">
        <f t="shared" si="16"/>
        <v>343</v>
      </c>
      <c r="K162" s="15"/>
      <c r="L162" s="20" t="str">
        <f t="shared" si="17"/>
        <v>https://www.google.com/maps/dir/Catamarca+Sur+664,+San+Juan/Escuela+Jos%C3%A9+Marmol,+Pampa+del+Cha%C3%B1ar,+San+Juan/Catamarca+Sur+664,+San+Juan/@-30.8635059,-69.9413953,318260m/data=!3m2!1e3!4b1!4m20!4m19!1m5!1m1!1s0x9681402690dd76eb:0x4b283f8fe10ce3f3!2m2!1d-68.5293761!2d-31.5426363!1m5!1m1!1s0x968343332eb1b0f3:0x7e67ae406e69dd4d!2m2!1d-68.6598066!2d-30.1901126!1m5!1m1!1s0x9681402690dd76eb:0x4b283f8fe10ce3f3!2m2!1d-68.5293761!2d-31.5426363!3e0?hl=es&amp;entry=ttu&amp;g_ep=EgoyMDI1MDczMC4wIKXMDSoASAFQAw%3D%3D</v>
      </c>
      <c r="M162" s="21" t="str">
        <f t="shared" si="13"/>
        <v>https://webagentes.canaldirecto.com.ar/incidents/view/830804-1</v>
      </c>
      <c r="N162" s="21" t="str">
        <f t="shared" si="14"/>
        <v>https://webagentes.canaldirecto.com.ar/incidents/view/830804-1</v>
      </c>
      <c r="O162" s="21"/>
      <c r="P162" s="22"/>
    </row>
    <row r="163" spans="1:16" s="23" customFormat="1" ht="21" customHeight="1" thickBot="1" x14ac:dyDescent="0.25">
      <c r="A163" s="28">
        <v>1</v>
      </c>
      <c r="B163" s="29" t="s">
        <v>461</v>
      </c>
      <c r="C163" s="18" t="s">
        <v>19</v>
      </c>
      <c r="D163" s="18" t="s">
        <v>36</v>
      </c>
      <c r="E163" s="18" t="s">
        <v>27</v>
      </c>
      <c r="F163" s="18" t="s">
        <v>462</v>
      </c>
      <c r="G163" s="18" t="s">
        <v>463</v>
      </c>
      <c r="H163" s="19">
        <v>20260421</v>
      </c>
      <c r="I163" s="15" t="str">
        <f t="shared" si="15"/>
        <v>Jachal</v>
      </c>
      <c r="J163" s="15">
        <f t="shared" si="16"/>
        <v>335</v>
      </c>
      <c r="K163" s="15"/>
      <c r="L163" s="20" t="str">
        <f t="shared" si="17"/>
        <v>https://www.google.com/maps/dir/Catamarca+Sur+664,+San+Juan/Escuela+Albergue+Joaquin+V.+Gonzalez,+Pampa+del+Cha%C3%B1ar,+San+Juan/Catamarca+Sur+664,+San+Juan/@-30.8756298,-69.4826628,206612m/data=!3m1!1e3!4m20!4m19!1m5!1m1!1s0x9681402690dd76eb:0x4b283f8fe10ce3f3!2m2!1d-68.5293761!2d-31.5426363!1m5!1m1!1s0x968369a527d3f6a9:0xc90e5a052f3d1a04!2m2!1d-68.6878882!2d-30.2143221!1m5!1m1!1s0x9681402690dd76eb:0x4b283f8fe10ce3f3!2m2!1d-68.5293761!2d-31.5426363!3e0?hl=es&amp;entry=ttu&amp;g_ep=EgoyMDI1MDgxMy4wIKXMDSoASAFQAw%3D%3D</v>
      </c>
      <c r="M163" s="21" t="str">
        <f t="shared" si="13"/>
        <v>https://webagentes.canaldirecto.com.ar/incidents/view/830803-2</v>
      </c>
      <c r="N163" s="21" t="str">
        <f t="shared" si="14"/>
        <v>https://webagentes.canaldirecto.com.ar/incidents/view/830803-2</v>
      </c>
      <c r="O163" s="21"/>
      <c r="P163" s="22"/>
    </row>
    <row r="164" spans="1:16" s="23" customFormat="1" ht="21" customHeight="1" thickBot="1" x14ac:dyDescent="0.25">
      <c r="A164" s="28">
        <v>1</v>
      </c>
      <c r="B164" s="29" t="s">
        <v>464</v>
      </c>
      <c r="C164" s="18" t="s">
        <v>19</v>
      </c>
      <c r="D164" s="18" t="s">
        <v>36</v>
      </c>
      <c r="E164" s="18" t="s">
        <v>27</v>
      </c>
      <c r="F164" s="18" t="s">
        <v>465</v>
      </c>
      <c r="G164" s="18" t="s">
        <v>466</v>
      </c>
      <c r="H164" s="19">
        <v>20260421</v>
      </c>
      <c r="I164" s="15" t="str">
        <f t="shared" si="15"/>
        <v>Jachal</v>
      </c>
      <c r="J164" s="15">
        <f t="shared" si="16"/>
        <v>319</v>
      </c>
      <c r="K164" s="15"/>
      <c r="L164" s="20" t="str">
        <f t="shared" si="17"/>
        <v>https://www.google.com/maps/dir/Catamarca+Sur+664,+San+Juan/ESCUELA+ANTENOR+FLORES+VIDAL,+San+Juan/Catamarca+Sur+664,+San+Juan/@-30.9010265,-69.2720103,159068m/data=!3m1!1e3!4m20!4m19!1m5!1m1!1s0x9681402690dd76eb:0x4b283f8fe10ce3f3!2m2!1d-68.5293761!2d-31.5426363!1m5!1m1!1s0x9683692336ff4175:0x14657e5136c2ac79!2m2!1d-68.6703282!2d-30.2617071!1m5!1m1!1s0x9681402690dd76eb:0x4b283f8fe10ce3f3!2m2!1d-68.5293761!2d-31.5426363!3e0?hl=es&amp;entry=ttu&amp;g_ep=EgoyMDI1MDgxMy4wIKXMDSoASAFQAw%3D%3D</v>
      </c>
      <c r="M164" s="21" t="str">
        <f t="shared" si="13"/>
        <v>https://webagentes.canaldirecto.com.ar/incidents/view/830802-3</v>
      </c>
      <c r="N164" s="21" t="str">
        <f t="shared" si="14"/>
        <v>https://webagentes.canaldirecto.com.ar/incidents/view/830802-3</v>
      </c>
      <c r="O164" s="21"/>
      <c r="P164" s="22"/>
    </row>
    <row r="165" spans="1:16" s="23" customFormat="1" ht="21" customHeight="1" thickBot="1" x14ac:dyDescent="0.25">
      <c r="A165" s="28">
        <v>1</v>
      </c>
      <c r="B165" s="29" t="s">
        <v>467</v>
      </c>
      <c r="C165" s="18" t="s">
        <v>19</v>
      </c>
      <c r="D165" s="18" t="s">
        <v>36</v>
      </c>
      <c r="E165" s="18" t="s">
        <v>27</v>
      </c>
      <c r="F165" s="18" t="s">
        <v>468</v>
      </c>
      <c r="G165" s="18" t="s">
        <v>469</v>
      </c>
      <c r="H165" s="19">
        <v>20260421</v>
      </c>
      <c r="I165" s="15" t="str">
        <f t="shared" si="15"/>
        <v>JACHAL</v>
      </c>
      <c r="J165" s="15">
        <f t="shared" si="16"/>
        <v>308</v>
      </c>
      <c r="K165" s="15"/>
      <c r="L165" s="20" t="str">
        <f t="shared" si="17"/>
        <v>https://www.google.com/maps/dir/Catamarca+Sur+664,+San+Juan/Escuela+Monse%C3%B1or+Tom%C3%A1s+Segundo+Cruz,+El+Volcan,+San+Juan/Catamarca+Sur+664,+San+Juan/@-30.9205257,-69.2721559,159035m/data=!3m1!1e3!4m20!4m19!1m5!1m1!1s0x9681402690dd76eb:0x4b283f8fe10ce3f3!2m2!1d-68.5293623!2d-31.542635!1m5!1m1!1s0x96836f2f5d34d985:0xa35ed32f480cca5d!2m2!1d-68.6967581!2d-30.3257843!1m5!1m1!1s0x9681402690dd76eb:0x4b283f8fe10ce3f3!2m2!1d-68.5293623!2d-31.542635!3e0?entry=ttu&amp;g_ep=EgoyMDI1MDgxOS4wIKXMDSoASAFQAw%3D%3D</v>
      </c>
      <c r="M165" s="21" t="str">
        <f t="shared" si="13"/>
        <v>https://webagentes.canaldirecto.com.ar/incidents/view/830801-4</v>
      </c>
      <c r="N165" s="21" t="str">
        <f t="shared" si="14"/>
        <v>https://webagentes.canaldirecto.com.ar/incidents/view/830801-4</v>
      </c>
      <c r="O165" s="21"/>
      <c r="P165" s="22"/>
    </row>
    <row r="166" spans="1:16" s="23" customFormat="1" ht="21" customHeight="1" thickBot="1" x14ac:dyDescent="0.25">
      <c r="A166" s="28">
        <v>1</v>
      </c>
      <c r="B166" s="29" t="s">
        <v>470</v>
      </c>
      <c r="C166" s="18" t="s">
        <v>19</v>
      </c>
      <c r="D166" s="18" t="s">
        <v>36</v>
      </c>
      <c r="E166" s="18" t="s">
        <v>27</v>
      </c>
      <c r="F166" s="18" t="s">
        <v>471</v>
      </c>
      <c r="G166" s="18" t="s">
        <v>472</v>
      </c>
      <c r="H166" s="19">
        <v>20260421</v>
      </c>
      <c r="I166" s="15" t="str">
        <f t="shared" si="15"/>
        <v>Jachal</v>
      </c>
      <c r="J166" s="15">
        <f t="shared" si="16"/>
        <v>278</v>
      </c>
      <c r="K166" s="15"/>
      <c r="L166" s="20" t="str">
        <f t="shared" si="17"/>
        <v>https://www.google.com/maps/dir/Catamarca+Sur+664,+San+Juan/Escuela+de+Nivel+Medio+de+Niquivil,+S%C3%A1n+Mart%C3%ADn,+Niquivil,+J%C3%A1chal,+San+Juan/Catamarca+Sur+664,+San+Juan/@-30.5314458,-69.0461802,67365m/data=!3m1!1e3!4m20!4m19!1m5!1m1!1s0x9681402690dd76eb:0x4b283f8fe10ce3f3!2m2!1d-68.5293761!2d-31.5426363!1m5!1m1!1s0x968371672ace8a69:0x1fa957c68700f734!2m2!1d-68.6945626!2d-30.3993822!1m5!1m1!1s0x9681402690dd76eb:0x4b283f8fe10ce3f3!2m2!1d-68.5293761!2d-31.5426363!3e0?entry=ttu&amp;g_ep=EgoyMDI1MDgxMy4wIKXMDSoASAFQAw%3D%3D</v>
      </c>
      <c r="M166" s="21" t="str">
        <f t="shared" si="13"/>
        <v>https://webagentes.canaldirecto.com.ar/incidents/view/830800-5</v>
      </c>
      <c r="N166" s="21" t="str">
        <f t="shared" si="14"/>
        <v>https://webagentes.canaldirecto.com.ar/incidents/view/830800-5</v>
      </c>
      <c r="O166" s="21"/>
      <c r="P166" s="22"/>
    </row>
    <row r="167" spans="1:16" s="23" customFormat="1" ht="21" customHeight="1" thickBot="1" x14ac:dyDescent="0.25">
      <c r="A167" s="28">
        <v>1</v>
      </c>
      <c r="B167" s="29" t="s">
        <v>473</v>
      </c>
      <c r="C167" s="18" t="s">
        <v>19</v>
      </c>
      <c r="D167" s="18" t="s">
        <v>36</v>
      </c>
      <c r="E167" s="18" t="s">
        <v>27</v>
      </c>
      <c r="F167" s="18" t="s">
        <v>447</v>
      </c>
      <c r="G167" s="18" t="s">
        <v>474</v>
      </c>
      <c r="H167" s="19">
        <v>20260421</v>
      </c>
      <c r="I167" s="15" t="str">
        <f t="shared" si="15"/>
        <v>Jachal</v>
      </c>
      <c r="J167" s="15">
        <f t="shared" si="16"/>
        <v>331</v>
      </c>
      <c r="K167" s="15"/>
      <c r="L167" s="20" t="str">
        <f t="shared" si="17"/>
        <v>https://www.google.com/maps/dir/Catamarca+Sur+664,+San+Juan/Escuela+Pedro+Bonifacio+Palacios,+RP456,+Tamber%C3%ADas,+San+Juan/Catamarca+Sur+664,+San+Juan/@-30.8580224,-69.9461396,318279m/data=!3m1!1e3!4m20!4m19!1m5!1m1!1s0x9681402690dd76eb:0x4b283f8fe10ce3f3!2m2!1d-68.5293761!2d-31.5426363!1m5!1m1!1s0x96835debdd40f1c9:0x5d4608612b127702!2m2!1d-68.7256993!2d-30.1886655!1m5!1m1!1s0x9681402690dd76eb:0x4b283f8fe10ce3f3!2m2!1d-68.5293761!2d-31.5426363!3e0?entry=ttu&amp;g_ep=EgoyMDI1MDgxMy4wIKXMDSoASAFQAw%3D%3D</v>
      </c>
      <c r="M167" s="21" t="str">
        <f t="shared" si="13"/>
        <v>https://webagentes.canaldirecto.com.ar/incidents/view/830799-0</v>
      </c>
      <c r="N167" s="21" t="str">
        <f t="shared" si="14"/>
        <v>https://webagentes.canaldirecto.com.ar/incidents/view/830799-0</v>
      </c>
      <c r="O167" s="21"/>
      <c r="P167" s="22"/>
    </row>
    <row r="168" spans="1:16" s="23" customFormat="1" ht="21" customHeight="1" thickBot="1" x14ac:dyDescent="0.25">
      <c r="A168" s="28">
        <v>1</v>
      </c>
      <c r="B168" s="29" t="s">
        <v>475</v>
      </c>
      <c r="C168" s="18" t="s">
        <v>19</v>
      </c>
      <c r="D168" s="18" t="s">
        <v>36</v>
      </c>
      <c r="E168" s="18" t="s">
        <v>27</v>
      </c>
      <c r="F168" s="18" t="s">
        <v>476</v>
      </c>
      <c r="G168" s="18" t="s">
        <v>477</v>
      </c>
      <c r="H168" s="19">
        <v>20260421</v>
      </c>
      <c r="I168" s="15" t="str">
        <f t="shared" si="15"/>
        <v>Jáchal</v>
      </c>
      <c r="J168" s="15">
        <f t="shared" si="16"/>
        <v>350</v>
      </c>
      <c r="K168" s="15"/>
      <c r="L168" s="20" t="str">
        <f t="shared" si="17"/>
        <v>https://www.google.com/maps/dir/Catamarca+Sur+664,+San+Juan/ESCUELA+24+DE+SEPTIEMBRE+-+Villa+Mercedes,+Villa+Mercedes,+San+Juan/Catamarca+Sur+664,+San+Juan/@-30.8212836,-69.9413961,318400m/data=!3m2!1e3!4b1!4m20!4m19!1m5!1m1!1s0x9681402690dd76eb:0x4b283f8fe10ce3f3!2m2!1d-68.5293761!2d-31.5426363!1m5!1m1!1s0x968344a5cb1dee57:0x32762593e2c7ec66!2m2!1d-68.7009297!2d-30.1056932!1m5!1m1!1s0x9681402690dd76eb:0x4b283f8fe10ce3f3!2m2!1d-68.5293761!2d-31.5426363!3e0?entry=ttu&amp;g_ep=EgoyMDI1MDgxMy4wIKXMDSoASAFQAw%3D%3D</v>
      </c>
      <c r="M168" s="21" t="str">
        <f t="shared" si="13"/>
        <v>https://webagentes.canaldirecto.com.ar/incidents/view/830798-1</v>
      </c>
      <c r="N168" s="21" t="str">
        <f t="shared" si="14"/>
        <v>https://webagentes.canaldirecto.com.ar/incidents/view/830798-1</v>
      </c>
      <c r="O168" s="21"/>
      <c r="P168" s="22"/>
    </row>
    <row r="169" spans="1:16" s="23" customFormat="1" ht="21" customHeight="1" thickBot="1" x14ac:dyDescent="0.25">
      <c r="A169" s="28">
        <v>1</v>
      </c>
      <c r="B169" s="29" t="s">
        <v>478</v>
      </c>
      <c r="C169" s="18" t="s">
        <v>19</v>
      </c>
      <c r="D169" s="18" t="s">
        <v>36</v>
      </c>
      <c r="E169" s="18" t="s">
        <v>27</v>
      </c>
      <c r="F169" s="18" t="s">
        <v>479</v>
      </c>
      <c r="G169" s="18" t="s">
        <v>480</v>
      </c>
      <c r="H169" s="19">
        <v>20260421</v>
      </c>
      <c r="I169" s="15" t="str">
        <f t="shared" si="15"/>
        <v>Jachal</v>
      </c>
      <c r="J169" s="15">
        <f t="shared" si="16"/>
        <v>356</v>
      </c>
      <c r="K169" s="15"/>
      <c r="L169" s="20" t="str">
        <f t="shared" si="17"/>
        <v>https://www.google.com/maps/dir/Catamarca+Sur+664,+San+Juan/Escuela+Gabriel+Albarracin+Emer,+Calle+Nueva+S%2FN+La+Represa,+J5460,+San+Juan/Catamarca+Sur+664,+San+Juan/@-30.8063217,-69.9458598,318450m/data=!3m1!1e3!4m20!4m19!1m5!1m1!1s0x9681402690dd76eb:0x4b283f8fe10ce3f3!2m2!1d-68.5293761!2d-31.5426363!1m5!1m1!1s0x968345dc19470b33:0x9385d61720cfda0c!2m2!1d-68.6905477!2d-30.0861659!1m5!1m1!1s0x9681402690dd76eb:0x4b283f8fe10ce3f3!2m2!1d-68.5293761!2d-31.5426363!3e0?entry=ttu&amp;g_ep=EgoyMDI1MDgxMy4wIKXMDSoASAFQAw%3D%3D</v>
      </c>
      <c r="M169" s="21" t="str">
        <f t="shared" si="13"/>
        <v>https://webagentes.canaldirecto.com.ar/incidents/view/830797-2</v>
      </c>
      <c r="N169" s="21" t="str">
        <f t="shared" si="14"/>
        <v>https://webagentes.canaldirecto.com.ar/incidents/view/830797-2</v>
      </c>
      <c r="O169" s="21"/>
      <c r="P169" s="22"/>
    </row>
    <row r="170" spans="1:16" s="23" customFormat="1" ht="21" customHeight="1" thickBot="1" x14ac:dyDescent="0.25">
      <c r="A170" s="28">
        <v>1</v>
      </c>
      <c r="B170" s="29" t="s">
        <v>481</v>
      </c>
      <c r="C170" s="18" t="s">
        <v>19</v>
      </c>
      <c r="D170" s="18" t="s">
        <v>36</v>
      </c>
      <c r="E170" s="18" t="s">
        <v>27</v>
      </c>
      <c r="F170" s="18" t="s">
        <v>482</v>
      </c>
      <c r="G170" s="18" t="s">
        <v>483</v>
      </c>
      <c r="H170" s="19">
        <v>20260421</v>
      </c>
      <c r="I170" s="15" t="str">
        <f t="shared" si="15"/>
        <v>JACHAL</v>
      </c>
      <c r="J170" s="15">
        <f t="shared" si="16"/>
        <v>353</v>
      </c>
      <c r="K170" s="15"/>
      <c r="L170" s="20" t="str">
        <f t="shared" si="17"/>
        <v>https://www.google.com/maps/dir/Catamarca+Sur+664,+San+Juan/Escuela+Dean+Gregorio+Funes,+Boca+de+la+Quebrada,+San+Juan/Catamarca+Sur+664,+San+Juan/@-30.8345935,-69.9460022,318356m/data=!3m1!1e3!4m20!4m19!1m5!1m1!1s0x9681402690dd76eb:0x4b283f8fe10ce3f3!2m2!1d-68.5293623!2d-31.542635!1m5!1m1!1s0x968343d64b1c298b:0xf99366e09c503559!2m2!1d-68.6612917!2d-30.1497832!1m5!1m1!1s0x9681402690dd76eb:0x4b283f8fe10ce3f3!2m2!1d-68.5293623!2d-31.542635!3e0?entry=ttu&amp;g_ep=EgoyMDI1MDgxOS4wIKXMDSoASAFQAw%3D%3D</v>
      </c>
      <c r="M170" s="21" t="str">
        <f t="shared" si="13"/>
        <v>https://webagentes.canaldirecto.com.ar/incidents/view/830796-3</v>
      </c>
      <c r="N170" s="21" t="str">
        <f t="shared" si="14"/>
        <v>https://webagentes.canaldirecto.com.ar/incidents/view/830796-3</v>
      </c>
      <c r="O170" s="21"/>
      <c r="P170" s="22"/>
    </row>
    <row r="171" spans="1:16" s="23" customFormat="1" ht="21" customHeight="1" thickBot="1" x14ac:dyDescent="0.25">
      <c r="A171" s="28">
        <v>1</v>
      </c>
      <c r="B171" s="29" t="s">
        <v>484</v>
      </c>
      <c r="C171" s="18" t="s">
        <v>19</v>
      </c>
      <c r="D171" s="18" t="s">
        <v>36</v>
      </c>
      <c r="E171" s="18" t="s">
        <v>27</v>
      </c>
      <c r="F171" s="18" t="s">
        <v>485</v>
      </c>
      <c r="G171" s="18" t="s">
        <v>486</v>
      </c>
      <c r="H171" s="19">
        <v>20260421</v>
      </c>
      <c r="I171" s="15" t="str">
        <f t="shared" si="15"/>
        <v>PAMPA DEL CHAÑAR</v>
      </c>
      <c r="J171" s="15">
        <f t="shared" si="16"/>
        <v>340</v>
      </c>
      <c r="K171" s="15"/>
      <c r="L171" s="20" t="str">
        <f t="shared" si="17"/>
        <v>google.com/maps/dir/Catamarca+Sur,+San+Juan/Escuela+Agustín+Gomez,+Pampa+del+Chañar,+San+Juan/Catamarca+Sur,+San+Juan/@-30.8553881,-69.9454102,318287m/data=!3m1!1e3!4m20!4m19!1m5!1m1!1s0x968140269756b7e1:0x3c38eb6d66eb45d!2m2!1d-68.5295918!2d-31.5427459!1m5!1m1!1s0x968343a064f2d975:0x4a3cbf6c3dff3475!2m2!1d-68.6797063!2d-30.1818967!1m5!1m1!1s0x968140269756b7e1:0x3c38eb6d66eb45d!2m2!1d-68.5295918!2d-31.5427459!3e0?hl=es&amp;entry=ttu&amp;g_ep=EgoyMDI1MTIwOS4wIKXMDSoASAFQAw%3D%3D</v>
      </c>
      <c r="M171" s="21" t="str">
        <f t="shared" si="13"/>
        <v>https://webagentes.canaldirecto.com.ar/incidents/view/830795-4</v>
      </c>
      <c r="N171" s="21" t="str">
        <f t="shared" si="14"/>
        <v>https://webagentes.canaldirecto.com.ar/incidents/view/830795-4</v>
      </c>
      <c r="O171" s="21"/>
      <c r="P171" s="22"/>
    </row>
    <row r="172" spans="1:16" s="23" customFormat="1" ht="21" customHeight="1" thickBot="1" x14ac:dyDescent="0.25">
      <c r="A172" s="28">
        <v>1</v>
      </c>
      <c r="B172" s="29" t="s">
        <v>487</v>
      </c>
      <c r="C172" s="18" t="s">
        <v>19</v>
      </c>
      <c r="D172" s="18" t="s">
        <v>36</v>
      </c>
      <c r="E172" s="18" t="s">
        <v>27</v>
      </c>
      <c r="F172" s="18" t="s">
        <v>488</v>
      </c>
      <c r="G172" s="18" t="s">
        <v>489</v>
      </c>
      <c r="H172" s="19">
        <v>20260421</v>
      </c>
      <c r="I172" s="15" t="str">
        <f t="shared" si="15"/>
        <v>Jachal</v>
      </c>
      <c r="J172" s="15">
        <f t="shared" si="16"/>
        <v>343</v>
      </c>
      <c r="K172" s="15"/>
      <c r="L172" s="20" t="str">
        <f t="shared" si="17"/>
        <v>https://www.google.com/maps/dir/Catamarca+Sur+664,+San+Juan/Escuela+Jos%C3%A9+Marmol,+Pampa+del+Cha%C3%B1ar,+San+Juan/Catamarca+Sur+664,+San+Juan/@-30.8635059,-69.9413953,318260m/data=!3m2!1e3!4b1!4m20!4m19!1m5!1m1!1s0x9681402690dd76eb:0x4b283f8fe10ce3f3!2m2!1d-68.5293761!2d-31.5426363!1m5!1m1!1s0x968343332eb1b0f3:0x7e67ae406e69dd4d!2m2!1d-68.6598066!2d-30.1901126!1m5!1m1!1s0x9681402690dd76eb:0x4b283f8fe10ce3f3!2m2!1d-68.5293761!2d-31.5426363!3e0?hl=es&amp;entry=ttu&amp;g_ep=EgoyMDI1MDczMC4wIKXMDSoASAFQAw%3D%3D</v>
      </c>
      <c r="M172" s="21" t="str">
        <f t="shared" si="13"/>
        <v>https://webagentes.canaldirecto.com.ar/incidents/view/830794-5</v>
      </c>
      <c r="N172" s="21" t="str">
        <f t="shared" si="14"/>
        <v>https://webagentes.canaldirecto.com.ar/incidents/view/830794-5</v>
      </c>
      <c r="O172" s="21"/>
      <c r="P172" s="22"/>
    </row>
    <row r="173" spans="1:16" s="23" customFormat="1" ht="21" customHeight="1" thickBot="1" x14ac:dyDescent="0.25">
      <c r="A173" s="28">
        <v>1</v>
      </c>
      <c r="B173" s="29" t="s">
        <v>490</v>
      </c>
      <c r="C173" s="18" t="s">
        <v>19</v>
      </c>
      <c r="D173" s="18" t="s">
        <v>36</v>
      </c>
      <c r="E173" s="18" t="s">
        <v>27</v>
      </c>
      <c r="F173" s="18" t="s">
        <v>491</v>
      </c>
      <c r="G173" s="18" t="s">
        <v>492</v>
      </c>
      <c r="H173" s="19">
        <v>20260421</v>
      </c>
      <c r="I173" s="15" t="str">
        <f t="shared" si="15"/>
        <v>Jachal</v>
      </c>
      <c r="J173" s="15">
        <f t="shared" si="16"/>
        <v>332</v>
      </c>
      <c r="K173" s="15"/>
      <c r="L173" s="20" t="str">
        <f t="shared" si="17"/>
        <v>https://www.google.com/maps/dir/Catamarca+Sur+664,+San+Juan/Escuela+de+Nivel+Medio+Pampa+Vieja,+San+Juan/Catamarca+Sur+664,+San+Juan/@-30.4509531,-69.1399645,92633m/data=!3m1!1e3!4m20!4m19!1m5!1m1!1s0x9681402690dd76eb:0x4b283f8fe10ce3f3!2m2!1d-68.5293761!2d-31.5426363!1m5!1m1!1s0x96836843a62faa2d:0x3f3833ec08e73fd2!2m2!1d-68.6880159!2d-30.2283284!1m5!1m1!1s0x9681402690dd76eb:0x4b283f8fe10ce3f3!2m2!1d-68.5293761!2d-31.5426363!3e0?entry=ttu&amp;g_ep=EgoyMDI1MDgxMy4wIKXMDSoASAFQAw%3D%3D</v>
      </c>
      <c r="M173" s="21" t="str">
        <f t="shared" si="13"/>
        <v>https://webagentes.canaldirecto.com.ar/incidents/view/830793-6</v>
      </c>
      <c r="N173" s="21" t="str">
        <f t="shared" si="14"/>
        <v>https://webagentes.canaldirecto.com.ar/incidents/view/830793-6</v>
      </c>
      <c r="O173" s="21"/>
      <c r="P173" s="22"/>
    </row>
    <row r="174" spans="1:16" s="23" customFormat="1" ht="21" customHeight="1" thickBot="1" x14ac:dyDescent="0.25">
      <c r="A174" s="28">
        <v>1</v>
      </c>
      <c r="B174" s="29" t="s">
        <v>493</v>
      </c>
      <c r="C174" s="18" t="s">
        <v>19</v>
      </c>
      <c r="D174" s="18" t="s">
        <v>36</v>
      </c>
      <c r="E174" s="18" t="s">
        <v>27</v>
      </c>
      <c r="F174" s="18" t="s">
        <v>494</v>
      </c>
      <c r="G174" s="18" t="s">
        <v>495</v>
      </c>
      <c r="H174" s="19">
        <v>20260421</v>
      </c>
      <c r="I174" s="15" t="str">
        <f t="shared" si="15"/>
        <v>Jachal</v>
      </c>
      <c r="J174" s="15">
        <f t="shared" si="16"/>
        <v>278</v>
      </c>
      <c r="K174" s="15"/>
      <c r="L174" s="20" t="str">
        <f t="shared" si="17"/>
        <v>https://www.google.com/maps/dir/Catamarca+Sur+664,+San+Juan/Escuela+Jos%C3%A9+Mat%C3%ADas+Zapiola,+Niquivil,+San+Juan/Catamarca+Sur+664,+San+Juan/@-30.9695477,-69.2633001,158954m/data=!3m1!1e3!4m20!4m19!1m5!1m1!1s0x9681402690dd76eb:0x4b283f8fe10ce3f3!2m2!1d-68.5293761!2d-31.5426363!1m5!1m1!1s0x9683706ae4aae525:0x60ef373ea151a26a!2m2!1d-68.6945325!2d-30.399619!1m5!1m1!1s0x9681402690dd76eb:0x4b283f8fe10ce3f3!2m2!1d-68.5293761!2d-31.5426363!3e0?hl=es&amp;entry=ttu&amp;g_ep=EgoyMDI1MDczMC4wIKXMDSoASAFQAw%3D%3D</v>
      </c>
      <c r="M174" s="21" t="str">
        <f t="shared" si="13"/>
        <v>https://webagentes.canaldirecto.com.ar/incidents/view/830792-7</v>
      </c>
      <c r="N174" s="21" t="str">
        <f t="shared" si="14"/>
        <v>https://webagentes.canaldirecto.com.ar/incidents/view/830792-7</v>
      </c>
      <c r="O174" s="21"/>
      <c r="P174" s="22"/>
    </row>
    <row r="175" spans="1:16" s="23" customFormat="1" ht="21" customHeight="1" thickBot="1" x14ac:dyDescent="0.25">
      <c r="A175" s="16">
        <v>2</v>
      </c>
      <c r="B175" s="17" t="s">
        <v>496</v>
      </c>
      <c r="C175" s="18" t="s">
        <v>19</v>
      </c>
      <c r="D175" s="18" t="s">
        <v>26</v>
      </c>
      <c r="E175" s="18" t="s">
        <v>21</v>
      </c>
      <c r="F175" s="18" t="s">
        <v>22</v>
      </c>
      <c r="G175" s="18" t="s">
        <v>497</v>
      </c>
      <c r="H175" s="19">
        <v>20260421</v>
      </c>
      <c r="I175" s="15" t="e">
        <f t="shared" si="15"/>
        <v>#N/A</v>
      </c>
      <c r="J175" s="15" t="e">
        <f t="shared" si="16"/>
        <v>#N/A</v>
      </c>
      <c r="K175" s="15"/>
      <c r="L175" s="20" t="e">
        <f t="shared" si="17"/>
        <v>#N/A</v>
      </c>
      <c r="M175" s="21" t="str">
        <f t="shared" si="13"/>
        <v>https://webagentes.canaldirecto.com.ar/incidents/view/830757-4</v>
      </c>
      <c r="N175" s="21" t="str">
        <f t="shared" si="14"/>
        <v>https://webagentes.canaldirecto.com.ar/incidents/view/830757-4</v>
      </c>
      <c r="O175" s="21"/>
      <c r="P175" s="22"/>
    </row>
    <row r="176" spans="1:16" s="23" customFormat="1" ht="21" customHeight="1" thickBot="1" x14ac:dyDescent="0.25">
      <c r="A176" s="16">
        <v>2</v>
      </c>
      <c r="B176" s="17" t="s">
        <v>498</v>
      </c>
      <c r="C176" s="18" t="s">
        <v>19</v>
      </c>
      <c r="D176" s="18" t="s">
        <v>26</v>
      </c>
      <c r="E176" s="18" t="s">
        <v>27</v>
      </c>
      <c r="F176" s="18" t="s">
        <v>149</v>
      </c>
      <c r="G176" s="18" t="s">
        <v>499</v>
      </c>
      <c r="H176" s="19">
        <v>20260421</v>
      </c>
      <c r="I176" s="15" t="e">
        <f t="shared" si="15"/>
        <v>#N/A</v>
      </c>
      <c r="J176" s="15" t="e">
        <f t="shared" si="16"/>
        <v>#N/A</v>
      </c>
      <c r="K176" s="15"/>
      <c r="L176" s="20" t="e">
        <f t="shared" si="17"/>
        <v>#N/A</v>
      </c>
      <c r="M176" s="21" t="str">
        <f t="shared" si="13"/>
        <v>https://webagentes.canaldirecto.com.ar/incidents/view/830748-6</v>
      </c>
      <c r="N176" s="21" t="str">
        <f t="shared" si="14"/>
        <v>https://webagentes.canaldirecto.com.ar/incidents/view/830748-6</v>
      </c>
      <c r="O176" s="21"/>
      <c r="P176" s="22"/>
    </row>
    <row r="177" spans="1:16" s="23" customFormat="1" ht="21" customHeight="1" thickBot="1" x14ac:dyDescent="0.25">
      <c r="A177" s="28">
        <v>1</v>
      </c>
      <c r="B177" s="29" t="s">
        <v>500</v>
      </c>
      <c r="C177" s="18" t="s">
        <v>19</v>
      </c>
      <c r="D177" s="18" t="s">
        <v>26</v>
      </c>
      <c r="E177" s="18" t="s">
        <v>27</v>
      </c>
      <c r="F177" s="18" t="s">
        <v>501</v>
      </c>
      <c r="G177" s="18" t="s">
        <v>150</v>
      </c>
      <c r="H177" s="19">
        <v>20260421</v>
      </c>
      <c r="I177" s="15" t="e">
        <f t="shared" si="15"/>
        <v>#N/A</v>
      </c>
      <c r="J177" s="15" t="e">
        <f t="shared" si="16"/>
        <v>#N/A</v>
      </c>
      <c r="K177" s="15"/>
      <c r="L177" s="20" t="e">
        <f t="shared" si="17"/>
        <v>#N/A</v>
      </c>
      <c r="M177" s="21" t="str">
        <f t="shared" si="13"/>
        <v>https://webagentes.canaldirecto.com.ar/incidents/view/830747-7</v>
      </c>
      <c r="N177" s="21" t="str">
        <f t="shared" si="14"/>
        <v>https://webagentes.canaldirecto.com.ar/incidents/view/830747-7</v>
      </c>
      <c r="O177" s="21"/>
      <c r="P177" s="22"/>
    </row>
    <row r="178" spans="1:16" s="23" customFormat="1" ht="21" customHeight="1" thickBot="1" x14ac:dyDescent="0.25">
      <c r="A178" s="28">
        <v>1</v>
      </c>
      <c r="B178" s="29" t="s">
        <v>502</v>
      </c>
      <c r="C178" s="18" t="s">
        <v>19</v>
      </c>
      <c r="D178" s="18" t="s">
        <v>20</v>
      </c>
      <c r="E178" s="18" t="s">
        <v>27</v>
      </c>
      <c r="F178" s="18" t="s">
        <v>479</v>
      </c>
      <c r="G178" s="18" t="s">
        <v>503</v>
      </c>
      <c r="H178" s="19">
        <v>20260421</v>
      </c>
      <c r="I178" s="15" t="str">
        <f t="shared" si="15"/>
        <v>JACHAL</v>
      </c>
      <c r="J178" s="15">
        <f t="shared" si="16"/>
        <v>356</v>
      </c>
      <c r="K178" s="15">
        <v>356</v>
      </c>
      <c r="L178" s="20" t="str">
        <f t="shared" si="17"/>
        <v>https://www.google.com/maps/dir/Catamarca+Sur+664,+San+Juan/Escuela+Gabriel+Albarracin+Emer,+Calle+Nueva+S%2FN+La+Represa,+J5460,+San+Juan/Catamarca+Sur+664,+San+Juan/@-30.8107994,-69.9413963,318435m/data=!3m2!1e3!4b1!4m20!4m19!1m5!1m1!1s0x9681402690dd76eb:0x4b283f8fe10ce3f3!2m2!1d-68.5293761!2d-31.5426363!1m5!1m1!1s0x968345dc19470b33:0x9385d61720cfda0c!2m2!1d-68.6905477!2d-30.0861659!1m5!1m1!1s0x9681402690dd76eb:0x4b283f8fe10ce3f3!2m2!1d-68.5293761!2d-31.5426363!3e0?entry=ttu&amp;g_ep=EgoyMDI1MDgxMy4wIKXMDSoASAFQAw%3D%3D</v>
      </c>
      <c r="M178" s="21" t="str">
        <f t="shared" si="13"/>
        <v>https://webagentes.canaldirecto.com.ar/incidents/view/830740-4</v>
      </c>
      <c r="N178" s="21" t="str">
        <f t="shared" si="14"/>
        <v>https://webagentes.canaldirecto.com.ar/incidents/view/830740-4</v>
      </c>
      <c r="O178" s="21"/>
      <c r="P178" s="22"/>
    </row>
    <row r="179" spans="1:16" s="23" customFormat="1" ht="21" customHeight="1" thickBot="1" x14ac:dyDescent="0.25">
      <c r="A179" s="16">
        <v>2</v>
      </c>
      <c r="B179" s="17" t="s">
        <v>504</v>
      </c>
      <c r="C179" s="18" t="s">
        <v>19</v>
      </c>
      <c r="D179" s="18" t="s">
        <v>26</v>
      </c>
      <c r="E179" s="18" t="s">
        <v>27</v>
      </c>
      <c r="F179" s="18" t="s">
        <v>505</v>
      </c>
      <c r="G179" s="18" t="s">
        <v>506</v>
      </c>
      <c r="H179" s="19">
        <v>20260421</v>
      </c>
      <c r="I179" s="15" t="e">
        <f t="shared" si="15"/>
        <v>#N/A</v>
      </c>
      <c r="J179" s="15" t="e">
        <f t="shared" si="16"/>
        <v>#N/A</v>
      </c>
      <c r="K179" s="15"/>
      <c r="L179" s="20" t="e">
        <f t="shared" si="17"/>
        <v>#N/A</v>
      </c>
      <c r="M179" s="21" t="str">
        <f t="shared" si="13"/>
        <v>https://webagentes.canaldirecto.com.ar/incidents/view/830727-3</v>
      </c>
      <c r="N179" s="21" t="str">
        <f t="shared" si="14"/>
        <v>https://webagentes.canaldirecto.com.ar/incidents/view/830727-3</v>
      </c>
      <c r="O179" s="21"/>
      <c r="P179" s="22"/>
    </row>
    <row r="180" spans="1:16" s="23" customFormat="1" ht="21" customHeight="1" thickBot="1" x14ac:dyDescent="0.25">
      <c r="A180" s="16">
        <v>2</v>
      </c>
      <c r="B180" s="17" t="s">
        <v>507</v>
      </c>
      <c r="C180" s="18" t="s">
        <v>19</v>
      </c>
      <c r="D180" s="18" t="s">
        <v>26</v>
      </c>
      <c r="E180" s="18" t="s">
        <v>27</v>
      </c>
      <c r="F180" s="18" t="s">
        <v>505</v>
      </c>
      <c r="G180" s="18" t="s">
        <v>508</v>
      </c>
      <c r="H180" s="19">
        <v>20260421</v>
      </c>
      <c r="I180" s="15" t="str">
        <f t="shared" si="15"/>
        <v>Rawson</v>
      </c>
      <c r="J180" s="15">
        <f t="shared" si="16"/>
        <v>8.8000000000000007</v>
      </c>
      <c r="K180" s="15"/>
      <c r="L180" s="20" t="str">
        <f t="shared" si="17"/>
        <v>https://www.google.com/maps/dir/Catamarca+Sur,+San+Juan/Escuela+Hogar+%22Jos%C3%A9+Manuel+Estrada%22,+J5425+Villa+Krause,+San+Juan/Catamarca+Sur,+San+Juan/@-31.5562638,-68.5472811,4937m/data=!3m2!1e3!4b1!4m20!4m19!1m5!1m1!1s0x968140269756b7e1:0x3c38eb6d66eb45d!2m2!1d-68.5295918!2d-31.5427459!1m5!1m1!1s0x96814000b15bf8d9:0xcb9eae0fd9e699d2!2m2!1d-68.530994!2d-31.5702997!1m5!1m1!1s0x968140269756b7e1:0x3c38eb6d66eb45d!2m2!1d-68.5295918!2d-31.5427459!3e0?hl=es&amp;entry=ttu&amp;g_ep=EgoyMDI1MTAwOC4wIKXMDSoASAFQAw%3D%3D</v>
      </c>
      <c r="M180" s="21" t="str">
        <f t="shared" si="13"/>
        <v>https://webagentes.canaldirecto.com.ar/incidents/view/830723-7</v>
      </c>
      <c r="N180" s="21" t="str">
        <f t="shared" si="14"/>
        <v>https://webagentes.canaldirecto.com.ar/incidents/view/830723-7</v>
      </c>
      <c r="O180" s="21"/>
      <c r="P180" s="22"/>
    </row>
    <row r="181" spans="1:16" s="23" customFormat="1" ht="21" customHeight="1" thickBot="1" x14ac:dyDescent="0.25">
      <c r="A181" s="16">
        <v>2</v>
      </c>
      <c r="B181" s="17" t="s">
        <v>509</v>
      </c>
      <c r="C181" s="18" t="s">
        <v>19</v>
      </c>
      <c r="D181" s="18" t="s">
        <v>20</v>
      </c>
      <c r="E181" s="18" t="s">
        <v>21</v>
      </c>
      <c r="F181" s="18" t="s">
        <v>22</v>
      </c>
      <c r="G181" s="18" t="s">
        <v>510</v>
      </c>
      <c r="H181" s="19">
        <v>20260421</v>
      </c>
      <c r="I181" s="15" t="e">
        <f t="shared" si="15"/>
        <v>#N/A</v>
      </c>
      <c r="J181" s="15" t="e">
        <f t="shared" si="16"/>
        <v>#N/A</v>
      </c>
      <c r="K181" s="15"/>
      <c r="L181" s="20" t="e">
        <f t="shared" si="17"/>
        <v>#N/A</v>
      </c>
      <c r="M181" s="21" t="str">
        <f t="shared" si="13"/>
        <v>https://webagentes.canaldirecto.com.ar/incidents/view/830475-3</v>
      </c>
      <c r="N181" s="21" t="str">
        <f t="shared" si="14"/>
        <v>https://webagentes.canaldirecto.com.ar/incidents/view/830475-3</v>
      </c>
      <c r="O181" s="21"/>
      <c r="P181" s="22"/>
    </row>
    <row r="182" spans="1:16" s="23" customFormat="1" ht="21" customHeight="1" thickBot="1" x14ac:dyDescent="0.25">
      <c r="A182" s="16">
        <v>2</v>
      </c>
      <c r="B182" s="17" t="s">
        <v>511</v>
      </c>
      <c r="C182" s="18" t="s">
        <v>19</v>
      </c>
      <c r="D182" s="18" t="s">
        <v>20</v>
      </c>
      <c r="E182" s="18" t="s">
        <v>21</v>
      </c>
      <c r="F182" s="18" t="s">
        <v>22</v>
      </c>
      <c r="G182" s="18" t="s">
        <v>512</v>
      </c>
      <c r="H182" s="19">
        <v>20260421</v>
      </c>
      <c r="I182" s="15" t="e">
        <f t="shared" si="15"/>
        <v>#N/A</v>
      </c>
      <c r="J182" s="15" t="e">
        <f t="shared" si="16"/>
        <v>#N/A</v>
      </c>
      <c r="K182" s="15"/>
      <c r="L182" s="20" t="e">
        <f t="shared" si="17"/>
        <v>#N/A</v>
      </c>
      <c r="M182" s="21" t="str">
        <f t="shared" si="13"/>
        <v>https://webagentes.canaldirecto.com.ar/incidents/view/830464-7</v>
      </c>
      <c r="N182" s="21" t="str">
        <f t="shared" si="14"/>
        <v>https://webagentes.canaldirecto.com.ar/incidents/view/830464-7</v>
      </c>
      <c r="O182" s="21"/>
      <c r="P182" s="22"/>
    </row>
    <row r="183" spans="1:16" s="23" customFormat="1" ht="21" customHeight="1" thickBot="1" x14ac:dyDescent="0.25">
      <c r="A183" s="16">
        <v>2</v>
      </c>
      <c r="B183" s="17" t="s">
        <v>513</v>
      </c>
      <c r="C183" s="18" t="s">
        <v>19</v>
      </c>
      <c r="D183" s="18" t="s">
        <v>36</v>
      </c>
      <c r="E183" s="18" t="s">
        <v>27</v>
      </c>
      <c r="F183" s="18" t="s">
        <v>514</v>
      </c>
      <c r="G183" s="18" t="s">
        <v>515</v>
      </c>
      <c r="H183" s="31">
        <v>20260422</v>
      </c>
      <c r="I183" s="15" t="str">
        <f t="shared" si="15"/>
        <v>9 de Julio.</v>
      </c>
      <c r="J183" s="15">
        <f t="shared" si="16"/>
        <v>35.9</v>
      </c>
      <c r="K183" s="15"/>
      <c r="L183" s="20" t="str">
        <f t="shared" si="17"/>
        <v>https://www.google.com/maps/dir/Catamarca+Sur+664,+San+Juan/Escuela+%22Procesa+Sarmiento+de+Lenoir%22,+Nueve+de+Julio,+San+Juan/Catamarca+Sur+664,+San+Juan/@-31.574474,-68.5372336,19742m/data=!3m2!1e3!4b1!4m20!4m19!1m5!1m1!1s0x9681402690dd76eb:0x4b283f8fe10ce3f3!2m2!1d-68.5293761!2d-31.5426363!1m5!1m1!1s0x968113fb8e211fe5:0x8461c97f5cdb0fba!2m2!1d-68.3785017!2d-31.6073618!1m5!1m1!1s0x9681402690dd76eb:0x4b283f8fe10ce3f3!2m2!1d-68.5293761!2d-31.5426363!3e0?entry=ttu&amp;g_ep=EgoyMDI1MDgxMy4wIKXMDSoASAFQAw%3D%3D</v>
      </c>
      <c r="M183" s="21" t="str">
        <f t="shared" si="13"/>
        <v>https://webagentes.canaldirecto.com.ar/incidents/view/830932-3</v>
      </c>
      <c r="N183" s="21" t="str">
        <f t="shared" si="14"/>
        <v>https://webagentes.canaldirecto.com.ar/incidents/view/830932-3</v>
      </c>
      <c r="O183" s="21"/>
      <c r="P183" s="22"/>
    </row>
    <row r="184" spans="1:16" s="23" customFormat="1" ht="21" customHeight="1" thickBot="1" x14ac:dyDescent="0.25">
      <c r="A184" s="16">
        <v>2</v>
      </c>
      <c r="B184" s="17" t="s">
        <v>516</v>
      </c>
      <c r="C184" s="18" t="s">
        <v>19</v>
      </c>
      <c r="D184" s="18" t="s">
        <v>36</v>
      </c>
      <c r="E184" s="18" t="s">
        <v>27</v>
      </c>
      <c r="F184" s="18" t="s">
        <v>517</v>
      </c>
      <c r="G184" s="18" t="s">
        <v>518</v>
      </c>
      <c r="H184" s="31">
        <v>20260422</v>
      </c>
      <c r="I184" s="15">
        <f t="shared" si="15"/>
        <v>45847</v>
      </c>
      <c r="J184" s="15">
        <f t="shared" si="16"/>
        <v>48.5</v>
      </c>
      <c r="K184" s="15"/>
      <c r="L184" s="20" t="str">
        <f t="shared" si="17"/>
        <v>https://www.google.com/maps/dir/Catamarca+Sur,+San+Juan/Escuela+Agrotecnica+Ana+Perez+Ciani,+s%2Fn,+Valent%C3%ADn+Videla,+San+Juan/Catamarca+Sur,+San+Juan/@-31.601368,-68.5381102,19737m/data=!3m2!1e3!4b1!4m20!4m19!1m5!1m1!1s0x968140269756b7e1:0x3c38eb6d66eb45d!2m2!1d-68.5295918!2d-31.5427459!1m5!1m1!1s0x96811109c6b4e325:0x573a4602c7ea89bc!2m2!1d-68.3810847!2d-31.6615414!1m5!1m1!1s0x968140269756b7e1:0x3c38eb6d66eb45d!2m2!1d-68.5295918!2d-31.5427459!3e0?hl=es&amp;entry=ttu&amp;g_ep=EgoyMDI1MTIwOS4wIKXMDSoASAFQAw%3D%3D</v>
      </c>
      <c r="M184" s="21" t="str">
        <f t="shared" si="13"/>
        <v>https://webagentes.canaldirecto.com.ar/incidents/view/830930-5</v>
      </c>
      <c r="N184" s="21" t="str">
        <f t="shared" si="14"/>
        <v>https://webagentes.canaldirecto.com.ar/incidents/view/830930-5</v>
      </c>
      <c r="O184" s="21"/>
      <c r="P184" s="22"/>
    </row>
    <row r="185" spans="1:16" s="23" customFormat="1" ht="21" customHeight="1" thickBot="1" x14ac:dyDescent="0.25">
      <c r="A185" s="16">
        <v>2</v>
      </c>
      <c r="B185" s="17" t="s">
        <v>519</v>
      </c>
      <c r="C185" s="18" t="s">
        <v>19</v>
      </c>
      <c r="D185" s="18" t="s">
        <v>36</v>
      </c>
      <c r="E185" s="18" t="s">
        <v>27</v>
      </c>
      <c r="F185" s="18" t="s">
        <v>520</v>
      </c>
      <c r="G185" s="18" t="s">
        <v>521</v>
      </c>
      <c r="H185" s="31">
        <v>20260422</v>
      </c>
      <c r="I185" s="15">
        <f t="shared" si="15"/>
        <v>45847</v>
      </c>
      <c r="J185" s="15">
        <f t="shared" si="16"/>
        <v>45.6</v>
      </c>
      <c r="K185" s="15"/>
      <c r="L185" s="20" t="str">
        <f t="shared" si="17"/>
        <v>https://www.google.com/maps/dir/Catamarca+Sur+664,+San+Juan/-31.6684025,-68.3922489/Catamarca+Sur+664,+San+Juan/@-31.6046909,-68.5441072,19736m/data=!3m2!1e3!4b1!4m15!4m14!1m5!1m1!1s0x9681402690dd76eb:0x4b283f8fe10ce3f3!2m2!1d-68.5293761!2d-31.5426363!1m0!1m5!1m1!1s0x9681402690dd76eb:0x4b283f8fe10ce3f3!2m2!1d-68.5293761!2d-31.5426363!3e0?hl=es&amp;entry=ttu&amp;g_ep=EgoyMDI1MDczMC4wIKXMDSoASAFQAw%3D%3D</v>
      </c>
      <c r="M185" s="21" t="str">
        <f t="shared" si="13"/>
        <v>https://webagentes.canaldirecto.com.ar/incidents/view/830929-9</v>
      </c>
      <c r="N185" s="21" t="str">
        <f t="shared" si="14"/>
        <v>https://webagentes.canaldirecto.com.ar/incidents/view/830929-9</v>
      </c>
      <c r="O185" s="21"/>
      <c r="P185" s="22"/>
    </row>
    <row r="186" spans="1:16" s="23" customFormat="1" ht="21" customHeight="1" thickBot="1" x14ac:dyDescent="0.25">
      <c r="A186" s="16">
        <v>2</v>
      </c>
      <c r="B186" s="17" t="s">
        <v>522</v>
      </c>
      <c r="C186" s="18" t="s">
        <v>19</v>
      </c>
      <c r="D186" s="18" t="s">
        <v>36</v>
      </c>
      <c r="E186" s="18" t="s">
        <v>27</v>
      </c>
      <c r="F186" s="18" t="s">
        <v>523</v>
      </c>
      <c r="G186" s="18" t="s">
        <v>524</v>
      </c>
      <c r="H186" s="31">
        <v>20260422</v>
      </c>
      <c r="I186" s="15">
        <f t="shared" si="15"/>
        <v>45847</v>
      </c>
      <c r="J186" s="15">
        <f t="shared" si="16"/>
        <v>55.6</v>
      </c>
      <c r="K186" s="15"/>
      <c r="L186" s="20" t="str">
        <f t="shared" si="17"/>
        <v>https://www.google.com/maps/dir/Catamarca+Sur+664,+San+Juan/Escuela+Eusebio+Segundo+Zapata,+Calle+11,+San+Juan/Catamarca+Sur+664,+San+Juan/@-31.6215228,-68.5326639,19732m/data=!3m2!1e3!4b1!4m20!4m19!1m5!1m1!1s0x9681402690dd76eb:0x4b283f8fe10ce3f3!2m2!1d-68.5293761!2d-31.5426363!1m5!1m1!1s0x9681106f6f1fdbcf:0x2ed26c5d4d41191a!2m2!1d-68.369362!2d-31.7018849!1m5!1m1!1s0x9681402690dd76eb:0x4b283f8fe10ce3f3!2m2!1d-68.5293761!2d-31.5426363!3e0?hl=es&amp;entry=ttu&amp;g_ep=EgoyMDI1MDczMC4wIKXMDSoASAFQAw%3D%3D</v>
      </c>
      <c r="M186" s="21" t="str">
        <f t="shared" si="13"/>
        <v>https://webagentes.canaldirecto.com.ar/incidents/view/830928-0</v>
      </c>
      <c r="N186" s="21" t="str">
        <f t="shared" si="14"/>
        <v>https://webagentes.canaldirecto.com.ar/incidents/view/830928-0</v>
      </c>
      <c r="O186" s="21"/>
      <c r="P186" s="22"/>
    </row>
    <row r="187" spans="1:16" s="23" customFormat="1" ht="21" customHeight="1" thickBot="1" x14ac:dyDescent="0.25">
      <c r="A187" s="16">
        <v>2</v>
      </c>
      <c r="B187" s="17" t="s">
        <v>525</v>
      </c>
      <c r="C187" s="18" t="s">
        <v>19</v>
      </c>
      <c r="D187" s="18" t="s">
        <v>36</v>
      </c>
      <c r="E187" s="18" t="s">
        <v>27</v>
      </c>
      <c r="F187" s="18" t="s">
        <v>526</v>
      </c>
      <c r="G187" s="18" t="s">
        <v>527</v>
      </c>
      <c r="H187" s="31">
        <v>20260422</v>
      </c>
      <c r="I187" s="15" t="str">
        <f t="shared" si="15"/>
        <v>9 de Julio.</v>
      </c>
      <c r="J187" s="15">
        <f t="shared" si="16"/>
        <v>46.1</v>
      </c>
      <c r="K187" s="15"/>
      <c r="L187" s="20" t="str">
        <f t="shared" si="17"/>
        <v>https://www.google.com/maps/dir/Catamarca+Sur+664,+San+Juan/Escuela+Granaderos+De+San+Mart%C3%ADn,+RP155,+Nueve+de+Julio,+San+Juan/Catamarca+Sur+664,+San+Juan/@-31.6052084,-68.5429086,19736m/data=!3m2!1e3!4b1!4m20!4m19!1m5!1m1!1s0x9681402690dd76eb:0x4b283f8fe10ce3f3!2m2!1d-68.5293761!2d-31.5426363!1m5!1m1!1s0x968111050dfd5ff7:0xc6d296a1b2624bc6!2m2!1d-68.3909199!2d-31.6688463!1m5!1m1!1s0x9681402690dd76eb:0x4b283f8fe10ce3f3!2m2!1d-68.5293761!2d-31.5426363!3e0?hl=es&amp;entry=ttu&amp;g_ep=EgoyMDI1MDgxMy4wIKXMDSoASAFQAw%3D%3D</v>
      </c>
      <c r="M187" s="21" t="str">
        <f t="shared" si="13"/>
        <v>https://webagentes.canaldirecto.com.ar/incidents/view/830927-1</v>
      </c>
      <c r="N187" s="21" t="str">
        <f t="shared" si="14"/>
        <v>https://webagentes.canaldirecto.com.ar/incidents/view/830927-1</v>
      </c>
      <c r="O187" s="21"/>
      <c r="P187" s="22"/>
    </row>
    <row r="188" spans="1:16" s="23" customFormat="1" ht="21" customHeight="1" thickBot="1" x14ac:dyDescent="0.25">
      <c r="A188" s="16">
        <v>2</v>
      </c>
      <c r="B188" s="17" t="s">
        <v>528</v>
      </c>
      <c r="C188" s="18" t="s">
        <v>19</v>
      </c>
      <c r="D188" s="18" t="s">
        <v>36</v>
      </c>
      <c r="E188" s="18" t="s">
        <v>27</v>
      </c>
      <c r="F188" s="18" t="s">
        <v>529</v>
      </c>
      <c r="G188" s="18" t="s">
        <v>530</v>
      </c>
      <c r="H188" s="31">
        <v>20260422</v>
      </c>
      <c r="I188" s="15" t="str">
        <f t="shared" si="15"/>
        <v>9 de Julio.</v>
      </c>
      <c r="J188" s="15">
        <f t="shared" si="16"/>
        <v>46.1</v>
      </c>
      <c r="K188" s="15"/>
      <c r="L188" s="20" t="str">
        <f t="shared" si="17"/>
        <v>https://www.google.com/maps/dir/Catamarca+Sur+664,+San+Juan/Escuela+Granaderos+De+San+Mart%C3%ADn,+RP155,+Nueve+de+Julio,+San+Juan/Catamarca+Sur+664,+San+Juan/@-31.6052084,-68.5429086,19736m/data=!3m2!1e3!4b1!4m20!4m19!1m5!1m1!1s0x9681402690dd76eb:0x4b283f8fe10ce3f3!2m2!1d-68.5293761!2d-31.5426363!1m5!1m1!1s0x968111050dfd5ff7:0xc6d296a1b2624bc6!2m2!1d-68.3909199!2d-31.6688463!1m5!1m1!1s0x9681402690dd76eb:0x4b283f8fe10ce3f3!2m2!1d-68.5293761!2d-31.5426363!3e0?hl=es&amp;entry=ttu&amp;g_ep=EgoyMDI1MDgxMy4wIKXMDSoASAFQAw%3D%3D</v>
      </c>
      <c r="M188" s="21" t="str">
        <f t="shared" si="13"/>
        <v>https://webagentes.canaldirecto.com.ar/incidents/view/830926-2</v>
      </c>
      <c r="N188" s="21" t="str">
        <f t="shared" si="14"/>
        <v>https://webagentes.canaldirecto.com.ar/incidents/view/830926-2</v>
      </c>
      <c r="O188" s="21"/>
      <c r="P188" s="22"/>
    </row>
    <row r="189" spans="1:16" s="23" customFormat="1" ht="21" customHeight="1" thickBot="1" x14ac:dyDescent="0.25">
      <c r="A189" s="16">
        <v>2</v>
      </c>
      <c r="B189" s="17" t="s">
        <v>531</v>
      </c>
      <c r="C189" s="18" t="s">
        <v>19</v>
      </c>
      <c r="D189" s="18" t="s">
        <v>36</v>
      </c>
      <c r="E189" s="18" t="s">
        <v>27</v>
      </c>
      <c r="F189" s="18" t="s">
        <v>532</v>
      </c>
      <c r="G189" s="18" t="s">
        <v>533</v>
      </c>
      <c r="H189" s="31">
        <v>20260422</v>
      </c>
      <c r="I189" s="15" t="str">
        <f t="shared" si="15"/>
        <v>9 de Julio.</v>
      </c>
      <c r="J189" s="15">
        <f t="shared" si="16"/>
        <v>67.5</v>
      </c>
      <c r="K189" s="15">
        <v>67.5</v>
      </c>
      <c r="L189" s="20" t="str">
        <f t="shared" si="17"/>
        <v>https://www.google.com/maps/dir/Catamarca+Sur+664,+San+Juan/Escuela+Elvira+de+La+Riestra+de+Lainez,+RP60,+San+Juan/Catamarca+Sur+664,+San+Juan/@-31.4858625,-68.7154959,19761m/data=!3m2!1e3!4b1!4m20!4m19!1m5!1m1!1s0x9681402690dd76eb:0x4b283f8fe10ce3f3!2m2!1d-68.5293761!2d-31.5426363!1m5!1m1!1s0x96814f39c3ec0195:0xa22d5311c116c93f!2m2!1d-68.736792!2d-31.4618694!1m5!1m1!1s0x9681402690dd76eb:0x4b283f8fe10ce3f3!2m2!1d-68.5293761!2d-31.5426363!3e0?hl=es&amp;entry=ttu&amp;g_ep=EgoyMDI1MDgxMy4wIKXMDSoASAFQAw%3D%3D</v>
      </c>
      <c r="M189" s="21" t="str">
        <f t="shared" si="13"/>
        <v>https://webagentes.canaldirecto.com.ar/incidents/view/830925-3</v>
      </c>
      <c r="N189" s="21" t="str">
        <f t="shared" si="14"/>
        <v>https://webagentes.canaldirecto.com.ar/incidents/view/830925-3</v>
      </c>
      <c r="O189" s="21"/>
      <c r="P189" s="22"/>
    </row>
    <row r="190" spans="1:16" s="23" customFormat="1" ht="21" customHeight="1" thickBot="1" x14ac:dyDescent="0.25">
      <c r="A190" s="16">
        <v>2</v>
      </c>
      <c r="B190" s="17" t="s">
        <v>534</v>
      </c>
      <c r="C190" s="18" t="s">
        <v>19</v>
      </c>
      <c r="D190" s="18" t="s">
        <v>20</v>
      </c>
      <c r="E190" s="18" t="s">
        <v>27</v>
      </c>
      <c r="F190" s="18" t="s">
        <v>535</v>
      </c>
      <c r="G190" s="18" t="s">
        <v>536</v>
      </c>
      <c r="H190" s="31">
        <v>20260422</v>
      </c>
      <c r="I190" s="15">
        <f t="shared" si="15"/>
        <v>45847</v>
      </c>
      <c r="J190" s="15">
        <f t="shared" si="16"/>
        <v>47.1</v>
      </c>
      <c r="K190" s="15"/>
      <c r="L190" s="20" t="str">
        <f t="shared" si="17"/>
        <v>https://www.google.com/maps/dir/Catamarca+Sur+664,+San+Juan/Escuela+Esteban+De+Luca,+Nueve+de+Julio,+San+Juan/Catamarca+Sur+664,+San+Juan/@-31.5948525,-68.5349149,19738m/data=!3m2!1e3!4b1!4m20!4m19!1m5!1m1!1s0x9681402690dd76eb:0x4b283f8fe10ce3f3!2m2!1d-68.5293761!2d-31.5426363!1m5!1m1!1s0x9681119914b10d59:0x3d417674734b09c3!2m2!1d-68.3738705!2d-31.6484258!1m5!1m1!1s0x9681402690dd76eb:0x4b283f8fe10ce3f3!2m2!1d-68.5293761!2d-31.5426363!3e0?hl=es&amp;entry=ttu&amp;g_ep=EgoyMDI1MDczMC4wIKXMDSoASAFQAw%3D%3D</v>
      </c>
      <c r="M190" s="21" t="str">
        <f t="shared" si="13"/>
        <v>https://webagentes.canaldirecto.com.ar/incidents/view/830851-9</v>
      </c>
      <c r="N190" s="21" t="str">
        <f t="shared" si="14"/>
        <v>https://webagentes.canaldirecto.com.ar/incidents/view/830851-9</v>
      </c>
      <c r="O190" s="21"/>
      <c r="P190" s="22"/>
    </row>
    <row r="191" spans="1:16" s="23" customFormat="1" ht="21" customHeight="1" thickBot="1" x14ac:dyDescent="0.25">
      <c r="A191" s="16">
        <v>2</v>
      </c>
      <c r="B191" s="17" t="s">
        <v>537</v>
      </c>
      <c r="C191" s="18" t="s">
        <v>19</v>
      </c>
      <c r="D191" s="18" t="s">
        <v>26</v>
      </c>
      <c r="E191" s="18" t="s">
        <v>21</v>
      </c>
      <c r="F191" s="18" t="s">
        <v>22</v>
      </c>
      <c r="G191" s="18" t="s">
        <v>538</v>
      </c>
      <c r="H191" s="31">
        <v>20260422</v>
      </c>
      <c r="I191" s="15" t="e">
        <f t="shared" si="15"/>
        <v>#N/A</v>
      </c>
      <c r="J191" s="15" t="e">
        <f t="shared" si="16"/>
        <v>#N/A</v>
      </c>
      <c r="K191" s="15"/>
      <c r="L191" s="20" t="e">
        <f t="shared" si="17"/>
        <v>#N/A</v>
      </c>
      <c r="M191" s="21" t="str">
        <f t="shared" si="13"/>
        <v>https://webagentes.canaldirecto.com.ar/incidents/view/830843-0</v>
      </c>
      <c r="N191" s="21" t="str">
        <f t="shared" si="14"/>
        <v>https://webagentes.canaldirecto.com.ar/incidents/view/830843-0</v>
      </c>
      <c r="O191" s="21"/>
      <c r="P191" s="22"/>
    </row>
    <row r="192" spans="1:16" s="23" customFormat="1" ht="21" customHeight="1" thickBot="1" x14ac:dyDescent="0.25">
      <c r="A192" s="16">
        <v>2</v>
      </c>
      <c r="B192" s="17" t="s">
        <v>539</v>
      </c>
      <c r="C192" s="18" t="s">
        <v>19</v>
      </c>
      <c r="D192" s="18" t="s">
        <v>26</v>
      </c>
      <c r="E192" s="18" t="s">
        <v>21</v>
      </c>
      <c r="F192" s="18" t="s">
        <v>22</v>
      </c>
      <c r="G192" s="18" t="s">
        <v>540</v>
      </c>
      <c r="H192" s="31">
        <v>20260422</v>
      </c>
      <c r="I192" s="15" t="e">
        <f t="shared" si="15"/>
        <v>#N/A</v>
      </c>
      <c r="J192" s="15" t="e">
        <f t="shared" si="16"/>
        <v>#N/A</v>
      </c>
      <c r="K192" s="15"/>
      <c r="L192" s="20" t="e">
        <f t="shared" si="17"/>
        <v>#N/A</v>
      </c>
      <c r="M192" s="21" t="str">
        <f t="shared" si="13"/>
        <v>https://webagentes.canaldirecto.com.ar/incidents/view/830842-1</v>
      </c>
      <c r="N192" s="21" t="str">
        <f t="shared" si="14"/>
        <v>https://webagentes.canaldirecto.com.ar/incidents/view/830842-1</v>
      </c>
      <c r="O192" s="21"/>
      <c r="P192" s="22"/>
    </row>
    <row r="193" spans="1:16" s="23" customFormat="1" ht="21" customHeight="1" thickBot="1" x14ac:dyDescent="0.25">
      <c r="A193" s="28">
        <v>1</v>
      </c>
      <c r="B193" s="29" t="s">
        <v>541</v>
      </c>
      <c r="C193" s="18" t="s">
        <v>19</v>
      </c>
      <c r="D193" s="18" t="s">
        <v>20</v>
      </c>
      <c r="E193" s="18" t="s">
        <v>27</v>
      </c>
      <c r="F193" s="18" t="s">
        <v>542</v>
      </c>
      <c r="G193" s="18" t="s">
        <v>543</v>
      </c>
      <c r="H193" s="31">
        <v>20260422</v>
      </c>
      <c r="I193" s="15" t="str">
        <f t="shared" si="15"/>
        <v>SAN MARTIN</v>
      </c>
      <c r="J193" s="15">
        <f t="shared" si="16"/>
        <v>58.2</v>
      </c>
      <c r="K193" s="15">
        <v>58.2</v>
      </c>
      <c r="L193" s="20" t="str">
        <f t="shared" si="17"/>
        <v>https://www.google.com/maps/dir/Catamarca+Sur+664,+San+Juan/Escuela+Antonio+Pulenta,+Independencia,+San+Juan/Catamarca+Sur+664,+San+Juan/@-31.516338,-68.4980917,19755m/data=!3m2!1e3!4b1!4m20!4m19!1m5!1m1!1s0x9681402690dd76eb:0x4b283f8fe10ce3f3!2m2!1d-68.5293761!2d-31.5426363!1m5!1m1!1s0x968173fc49bf804f:0xaf26ce92df06c5ad!2m2!1d-68.3006094!2d-31.4924166!1m5!1m1!1s0x9681402690dd76eb:0x4b283f8fe10ce3f3!2m2!1d-68.5293761!2d-31.5426363!3e0?hl=es&amp;entry=ttu&amp;g_ep=EgoyMDI1MDczMC4wIKXMDSoASAFQAw%3D%3D</v>
      </c>
      <c r="M193" s="21" t="str">
        <f t="shared" si="13"/>
        <v>https://webagentes.canaldirecto.com.ar/incidents/view/830817-5</v>
      </c>
      <c r="N193" s="21" t="str">
        <f t="shared" si="14"/>
        <v>https://webagentes.canaldirecto.com.ar/incidents/view/830817-5</v>
      </c>
      <c r="O193" s="21"/>
      <c r="P193" s="22"/>
    </row>
    <row r="194" spans="1:16" s="23" customFormat="1" ht="21" customHeight="1" thickBot="1" x14ac:dyDescent="0.25">
      <c r="A194" s="28">
        <v>1</v>
      </c>
      <c r="B194" s="29" t="s">
        <v>544</v>
      </c>
      <c r="C194" s="18" t="s">
        <v>19</v>
      </c>
      <c r="D194" s="18" t="s">
        <v>20</v>
      </c>
      <c r="E194" s="18" t="s">
        <v>27</v>
      </c>
      <c r="F194" s="18" t="s">
        <v>161</v>
      </c>
      <c r="G194" s="18" t="s">
        <v>427</v>
      </c>
      <c r="H194" s="31">
        <v>20260422</v>
      </c>
      <c r="I194" s="15" t="e">
        <f t="shared" si="15"/>
        <v>#N/A</v>
      </c>
      <c r="J194" s="15" t="e">
        <f t="shared" si="16"/>
        <v>#N/A</v>
      </c>
      <c r="K194" s="15"/>
      <c r="L194" s="20" t="e">
        <f t="shared" si="17"/>
        <v>#N/A</v>
      </c>
      <c r="M194" s="21" t="str">
        <f t="shared" si="13"/>
        <v>https://webagentes.canaldirecto.com.ar/incidents/view/830776-9</v>
      </c>
      <c r="N194" s="21" t="str">
        <f t="shared" si="14"/>
        <v>https://webagentes.canaldirecto.com.ar/incidents/view/830776-9</v>
      </c>
      <c r="O194" s="21"/>
      <c r="P194" s="22"/>
    </row>
    <row r="195" spans="1:16" s="23" customFormat="1" ht="21" customHeight="1" thickBot="1" x14ac:dyDescent="0.25">
      <c r="A195" s="28">
        <v>1</v>
      </c>
      <c r="B195" s="29" t="s">
        <v>545</v>
      </c>
      <c r="C195" s="18" t="s">
        <v>19</v>
      </c>
      <c r="D195" s="18" t="s">
        <v>20</v>
      </c>
      <c r="E195" s="18" t="s">
        <v>27</v>
      </c>
      <c r="F195" s="18" t="s">
        <v>546</v>
      </c>
      <c r="G195" s="18" t="s">
        <v>547</v>
      </c>
      <c r="H195" s="31">
        <v>20260422</v>
      </c>
      <c r="I195" s="15" t="str">
        <f t="shared" si="15"/>
        <v>San Martín</v>
      </c>
      <c r="J195" s="15">
        <f t="shared" si="16"/>
        <v>38.799999999999997</v>
      </c>
      <c r="K195" s="15"/>
      <c r="L195" s="20" t="str">
        <f t="shared" si="17"/>
        <v>https://www.google.com/maps/dir/Catamarca+Sur+664,+J5402GSN+San+Juan/Escuela+Provincia+de+Neuqu%C3%A9n,+San+Juan/Catamarca+Sur+664,+San+Juan/@-31.5190993,-68.5164073,9877m/data=!3m2!1e3!4b1!4m20!4m19!1m5!1m1!1s0x9681402690dd76eb:0x4b283f8fe10ce3f3!2m2!1d-68.5293761!2d-31.5426363!1m5!1m1!1s0x96816dc5f8246ea7:0xd43a86f488749db0!2m2!1d-68.4153889!2d-31.4871005!1m5!1m1!1s0x9681402690dd76eb:0x4b283f8fe10ce3f3!2m2!1d-68.5293761!2d-31.5426363!3e0?entry=ttu&amp;g_ep=EgoyMDI1MDgxMy4wIKXMDSoASAFQAw%3D%3D</v>
      </c>
      <c r="M195" s="21" t="str">
        <f t="shared" ref="M195:M258" si="18">HYPERLINK(N195)</f>
        <v>https://webagentes.canaldirecto.com.ar/incidents/view/830760-8</v>
      </c>
      <c r="N195" s="21" t="str">
        <f t="shared" ref="N195:N258" si="19">CONCATENATE("https://webagentes.canaldirecto.com.ar/incidents/view/",B195)</f>
        <v>https://webagentes.canaldirecto.com.ar/incidents/view/830760-8</v>
      </c>
      <c r="O195" s="21"/>
      <c r="P195" s="22"/>
    </row>
    <row r="196" spans="1:16" s="23" customFormat="1" ht="21" customHeight="1" thickBot="1" x14ac:dyDescent="0.25">
      <c r="A196" s="28">
        <v>1</v>
      </c>
      <c r="B196" s="29" t="s">
        <v>548</v>
      </c>
      <c r="C196" s="18" t="s">
        <v>19</v>
      </c>
      <c r="D196" s="18" t="s">
        <v>20</v>
      </c>
      <c r="E196" s="18" t="s">
        <v>27</v>
      </c>
      <c r="F196" s="18" t="s">
        <v>549</v>
      </c>
      <c r="G196" s="18" t="s">
        <v>550</v>
      </c>
      <c r="H196" s="31">
        <v>20260422</v>
      </c>
      <c r="I196" s="15" t="str">
        <f t="shared" ref="I196:I259" si="20">VLOOKUP(G196,DIOS,2,FALSE)</f>
        <v>Zonda</v>
      </c>
      <c r="J196" s="15">
        <f t="shared" ref="J196:J259" si="21">VLOOKUP(G196,DIOS,5,FALSE)</f>
        <v>45.9</v>
      </c>
      <c r="K196" s="15">
        <v>45.9</v>
      </c>
      <c r="L196" s="20" t="str">
        <f t="shared" ref="L196:L259" si="22">VLOOKUP(G196,DIOS,4,FALSE)</f>
        <v>https://www.google.com/maps/dir/Catamarca+Sur+664,+San+Juan/Escuela+Rafael+Obligado,+Villa+Basilio+Nievas,+San+Juan/Catamarca+Sur+664,+San+Juan/@-31.5526162,-68.7127068,19747m/data=!3m2!1e3!4b1!4m20!4m19!1m5!1m1!1s0x9681402690dd76eb:0x4b283f8fe10ce3f3!2m2!1d-68.5293761!2d-31.5426363!1m5!1m1!1s0x9681488fd721e9ef:0xebd083423b94a500!2m2!1d-68.7298254!2d-31.5521921!1m5!1m1!1s0x9681402690dd76eb:0x4b283f8fe10ce3f3!2m2!1d-68.5293761!2d-31.5426363!3e0?hl=es&amp;entry=ttu&amp;g_ep=EgoyMDI1MDgxMy4wIKXMDSoASAFQAw%3D%3D</v>
      </c>
      <c r="M196" s="21" t="str">
        <f t="shared" si="18"/>
        <v>https://webagentes.canaldirecto.com.ar/incidents/view/830679-7</v>
      </c>
      <c r="N196" s="21" t="str">
        <f t="shared" si="19"/>
        <v>https://webagentes.canaldirecto.com.ar/incidents/view/830679-7</v>
      </c>
      <c r="O196" s="21"/>
      <c r="P196" s="22"/>
    </row>
    <row r="197" spans="1:16" s="23" customFormat="1" ht="21" customHeight="1" thickBot="1" x14ac:dyDescent="0.25">
      <c r="A197" s="28">
        <v>1</v>
      </c>
      <c r="B197" s="29" t="s">
        <v>551</v>
      </c>
      <c r="C197" s="18" t="s">
        <v>19</v>
      </c>
      <c r="D197" s="18" t="s">
        <v>20</v>
      </c>
      <c r="E197" s="18" t="s">
        <v>27</v>
      </c>
      <c r="F197" s="18" t="s">
        <v>552</v>
      </c>
      <c r="G197" s="18" t="s">
        <v>553</v>
      </c>
      <c r="H197" s="31">
        <v>20260422</v>
      </c>
      <c r="I197" s="15" t="str">
        <f t="shared" si="20"/>
        <v>Albardón</v>
      </c>
      <c r="J197" s="15">
        <f t="shared" si="21"/>
        <v>34.6</v>
      </c>
      <c r="K197" s="15">
        <v>34.6</v>
      </c>
      <c r="L197" s="20" t="str">
        <f t="shared" si="22"/>
        <v>https://www.google.com/maps/dir/Catamarca+Sur+664,+San+Juan/Escuela+Provincia+de+Jujuy,+Nacional,+J5419+Villa+Gral.+San+Martin,+San+Juan/Catamarca+Sur+664,+San+Juan/@-31.491174,-68.601825,19760m/data=!3m2!1e3!4b1!4m20!4m19!1m5!1m1!1s0x9681402690dd76eb:0x4b283f8fe10ce3f3!2m2!1d-68.5293761!2d-31.5426363!1m5!1m1!1s0x968143e601bdcb69:0x96cfe5a73b3b6121!2m2!1d-68.5290139!2d-31.4276884!1m5!1m1!1s0x9681402690dd76eb:0x4b283f8fe10ce3f3!2m2!1d-68.5293761!2d-31.5426363!3e0?hl=es&amp;entry=ttu&amp;g_ep=EgoyMDI1MDczMC4wIKXMDSoASAFQAw%3D%3D</v>
      </c>
      <c r="M197" s="21" t="str">
        <f t="shared" si="18"/>
        <v>https://webagentes.canaldirecto.com.ar/incidents/view/830612-2</v>
      </c>
      <c r="N197" s="21" t="str">
        <f t="shared" si="19"/>
        <v>https://webagentes.canaldirecto.com.ar/incidents/view/830612-2</v>
      </c>
      <c r="O197" s="21"/>
      <c r="P197" s="22"/>
    </row>
    <row r="198" spans="1:16" s="23" customFormat="1" ht="21" customHeight="1" thickBot="1" x14ac:dyDescent="0.25">
      <c r="A198" s="28">
        <v>1</v>
      </c>
      <c r="B198" s="29" t="s">
        <v>554</v>
      </c>
      <c r="C198" s="18" t="s">
        <v>19</v>
      </c>
      <c r="D198" s="18" t="s">
        <v>36</v>
      </c>
      <c r="E198" s="18" t="s">
        <v>27</v>
      </c>
      <c r="F198" s="18" t="s">
        <v>555</v>
      </c>
      <c r="G198" s="18" t="s">
        <v>556</v>
      </c>
      <c r="H198" s="19">
        <v>20260423</v>
      </c>
      <c r="I198" s="15" t="str">
        <f t="shared" si="20"/>
        <v>JACHAL</v>
      </c>
      <c r="J198" s="15">
        <f t="shared" si="21"/>
        <v>328</v>
      </c>
      <c r="K198" s="15"/>
      <c r="L198" s="20" t="str">
        <f t="shared" si="22"/>
        <v>https://www.google.com/maps/dir/Catamarca+Sur+664,+San+Juan/Presbitero+Patricio+Lopez+del+Campo,+Bella+Vista,+San+Juan/Catamarca+Sur+664,+San+Juan/@-30.8731091,-69.9444586,318228m/data=!3m2!1e3!4b1!4m20!4m19!1m5!1m1!1s0x9681402690dd76eb:0x4b283f8fe10ce3f3!2m2!1d-68.5293761!2d-31.5426363!1m5!1m1!1s0x9683672ec4073951:0xbdae67fd9d04a9c4!2m2!1d-68.7465879!2d-30.209438!1m5!1m1!1s0x9681402690dd76eb:0x4b283f8fe10ce3f3!2m2!1d-68.5293761!2d-31.5426363!3e0?hl=es&amp;entry=ttu&amp;g_ep=EgoyMDI1MDczMC4wIKXMDSoASAFQAw%3D%3D</v>
      </c>
      <c r="M198" s="21" t="str">
        <f t="shared" si="18"/>
        <v>https://webagentes.canaldirecto.com.ar/incidents/view/831212-3</v>
      </c>
      <c r="N198" s="21" t="str">
        <f t="shared" si="19"/>
        <v>https://webagentes.canaldirecto.com.ar/incidents/view/831212-3</v>
      </c>
      <c r="O198" s="21"/>
      <c r="P198" s="22"/>
    </row>
    <row r="199" spans="1:16" s="23" customFormat="1" ht="21" customHeight="1" thickBot="1" x14ac:dyDescent="0.25">
      <c r="A199" s="28">
        <v>1</v>
      </c>
      <c r="B199" s="29" t="s">
        <v>557</v>
      </c>
      <c r="C199" s="18" t="s">
        <v>19</v>
      </c>
      <c r="D199" s="18" t="s">
        <v>36</v>
      </c>
      <c r="E199" s="18" t="s">
        <v>27</v>
      </c>
      <c r="F199" s="18" t="s">
        <v>558</v>
      </c>
      <c r="G199" s="18" t="s">
        <v>559</v>
      </c>
      <c r="H199" s="19">
        <v>20260423</v>
      </c>
      <c r="I199" s="15" t="str">
        <f t="shared" si="20"/>
        <v>Jachal</v>
      </c>
      <c r="J199" s="15">
        <f t="shared" si="21"/>
        <v>340</v>
      </c>
      <c r="K199" s="15"/>
      <c r="L199" s="20" t="str">
        <f t="shared" si="22"/>
        <v>https://www.google.com/maps/dir/Catamarca+Sur+664,+San+Juan/Escuela+Bienvenida+Sarmiento,+RN150,+Pachimoco,+San+Juan/Catamarca+Sur+664,+San+Juan/@-30.8671562,-69.9858541,318248m/data=!3m2!1e3!4b1!4m20!4m19!1m5!1m1!1s0x9681402690dd76eb:0x4b283f8fe10ce3f3!2m2!1d-68.5293761!2d-31.5426363!1m5!1m1!1s0x96835f335e90c805:0x6143ebdb6f532f6b!2m2!1d-68.8292067!2d-30.1981889!1m5!1m1!1s0x9681402690dd76eb:0x4b283f8fe10ce3f3!2m2!1d-68.5293761!2d-31.5426363!3e0?hl=es&amp;entry=ttu&amp;g_ep=EgoyMDI1MDgxMy4wIKXMDSoASAFQAw%3D%3D</v>
      </c>
      <c r="M199" s="21" t="str">
        <f t="shared" si="18"/>
        <v>https://webagentes.canaldirecto.com.ar/incidents/view/831164-7</v>
      </c>
      <c r="N199" s="21" t="str">
        <f t="shared" si="19"/>
        <v>https://webagentes.canaldirecto.com.ar/incidents/view/831164-7</v>
      </c>
      <c r="O199" s="21"/>
      <c r="P199" s="22"/>
    </row>
    <row r="200" spans="1:16" s="23" customFormat="1" ht="21" customHeight="1" thickBot="1" x14ac:dyDescent="0.25">
      <c r="A200" s="28">
        <v>1</v>
      </c>
      <c r="B200" s="29" t="s">
        <v>560</v>
      </c>
      <c r="C200" s="18" t="s">
        <v>19</v>
      </c>
      <c r="D200" s="18" t="s">
        <v>36</v>
      </c>
      <c r="E200" s="18" t="s">
        <v>27</v>
      </c>
      <c r="F200" s="18" t="s">
        <v>561</v>
      </c>
      <c r="G200" s="18" t="s">
        <v>562</v>
      </c>
      <c r="H200" s="19">
        <v>20260423</v>
      </c>
      <c r="I200" s="15" t="str">
        <f t="shared" si="20"/>
        <v>Jachal</v>
      </c>
      <c r="J200" s="15">
        <f t="shared" si="21"/>
        <v>323</v>
      </c>
      <c r="K200" s="15"/>
      <c r="L200" s="20" t="str">
        <f t="shared" si="22"/>
        <v>https://www.google.com/maps/dir/Catamarca+Sur+664,+San+Juan/E.N.I+N%C2%B037,+J5460+San+Jose+de+Jachal,+San+Juan/Catamarca+Sur+664,+San+Juan/@-30.8961498,-69.2883963,159076m/data=!3m2!1e3!4b1!4m20!4m19!1m5!1m1!1s0x9681402690dd76eb:0x4b283f8fe10ce3f3!2m2!1d-68.5293761!2d-31.5426363!1m5!1m1!1s0x968367270a5077dd:0x7ccf90f686508d90!2m2!1d-68.7546302!2d-30.2433796!1m5!1m1!1s0x9681402690dd76eb:0x4b283f8fe10ce3f3!2m2!1d-68.5293761!2d-31.5426363!3e0?hl=es&amp;entry=ttu&amp;g_ep=EgoyMDI1MDgxMy4wIKXMDSoASAFQAw%3D%3D</v>
      </c>
      <c r="M200" s="21" t="str">
        <f t="shared" si="18"/>
        <v>https://webagentes.canaldirecto.com.ar/incidents/view/831163-8</v>
      </c>
      <c r="N200" s="21" t="str">
        <f t="shared" si="19"/>
        <v>https://webagentes.canaldirecto.com.ar/incidents/view/831163-8</v>
      </c>
      <c r="O200" s="21"/>
      <c r="P200" s="22"/>
    </row>
    <row r="201" spans="1:16" s="23" customFormat="1" ht="21" customHeight="1" thickBot="1" x14ac:dyDescent="0.25">
      <c r="A201" s="28">
        <v>1</v>
      </c>
      <c r="B201" s="29" t="s">
        <v>563</v>
      </c>
      <c r="C201" s="18" t="s">
        <v>19</v>
      </c>
      <c r="D201" s="18" t="s">
        <v>36</v>
      </c>
      <c r="E201" s="18" t="s">
        <v>27</v>
      </c>
      <c r="F201" s="18" t="s">
        <v>564</v>
      </c>
      <c r="G201" s="18" t="s">
        <v>565</v>
      </c>
      <c r="H201" s="19">
        <v>20260423</v>
      </c>
      <c r="I201" s="15" t="str">
        <f t="shared" si="20"/>
        <v>Jachal</v>
      </c>
      <c r="J201" s="15">
        <f t="shared" si="21"/>
        <v>323</v>
      </c>
      <c r="K201" s="15"/>
      <c r="L201" s="20" t="str">
        <f t="shared" si="22"/>
        <v>https://www.google.com/maps/dir/Catamarca+Sur+664,+San+Juan/E.N.I.+N%C2%B0+58,+J5460+San+Jose+de+Jachal,+San+Juan/Catamarca+Sur+664,+San+Juan/@-30.8869225,-69.2906025,159091m/data=!3m1!1e3!4m20!4m19!1m5!1m1!1s0x9681402690dd76eb:0x4b283f8fe10ce3f3!2m2!1d-68.5293761!2d-31.5426363!1m5!1m1!1s0x968367002bd98781:0x28671a7fc01b2eae!2m2!1d-68.7495698!2d-30.2401394!1m5!1m1!1s0x9681402690dd76eb:0x4b283f8fe10ce3f3!2m2!1d-68.5293761!2d-31.5426363!3e0?hl=es&amp;entry=ttu&amp;g_ep=EgoyMDI1MDgxMy4wIKXMDSoASAFQAw%3D%3D</v>
      </c>
      <c r="M201" s="21" t="str">
        <f t="shared" si="18"/>
        <v>https://webagentes.canaldirecto.com.ar/incidents/view/831162-9</v>
      </c>
      <c r="N201" s="21" t="str">
        <f t="shared" si="19"/>
        <v>https://webagentes.canaldirecto.com.ar/incidents/view/831162-9</v>
      </c>
      <c r="O201" s="21"/>
      <c r="P201" s="22"/>
    </row>
    <row r="202" spans="1:16" s="23" customFormat="1" ht="21" customHeight="1" thickBot="1" x14ac:dyDescent="0.25">
      <c r="A202" s="39">
        <v>1</v>
      </c>
      <c r="B202" s="29" t="s">
        <v>566</v>
      </c>
      <c r="C202" s="18" t="s">
        <v>19</v>
      </c>
      <c r="D202" s="18" t="s">
        <v>36</v>
      </c>
      <c r="E202" s="18" t="s">
        <v>27</v>
      </c>
      <c r="F202" s="18" t="s">
        <v>567</v>
      </c>
      <c r="G202" s="18" t="s">
        <v>568</v>
      </c>
      <c r="H202" s="19">
        <v>20260423</v>
      </c>
      <c r="I202" s="15" t="str">
        <f t="shared" si="20"/>
        <v>Jachal</v>
      </c>
      <c r="J202" s="15">
        <f t="shared" si="21"/>
        <v>343</v>
      </c>
      <c r="K202" s="15"/>
      <c r="L202" s="20" t="str">
        <f t="shared" si="22"/>
        <v>https://www.google.com/maps/dir/Catamarca+Sur+664,+San+Juan/Escuela+Agroindustrial+Mons.+Dr.juan+Antonio+Videla+Cuello,+Villa+San+Isidro,+San+Juan/Catamarca+Sur+664,+San+Juan/@-30.8398817,-69.9413958,318339m/data=!3m2!1e3!4b1!4m20!4m19!1m5!1m1!1s0x9681402690dd76eb:0x4b283f8fe10ce3f3!2m2!1d-68.5293761!2d-31.5426363!1m5!1m1!1s0x96834340c1233727:0x629838a159d60afa!2m2!1d-68.7058977!2d-30.143312!1m5!1m1!1s0x9681402690dd76eb:0x4b283f8fe10ce3f3!2m2!1d-68.5293761!2d-31.5426363!3e0?entry=ttu&amp;g_ep=EgoyMDI1MDgxMy4wIKXMDSoASAFQAw%3D%3D</v>
      </c>
      <c r="M202" s="21" t="str">
        <f t="shared" si="18"/>
        <v>https://webagentes.canaldirecto.com.ar/incidents/view/831161-0</v>
      </c>
      <c r="N202" s="21" t="str">
        <f t="shared" si="19"/>
        <v>https://webagentes.canaldirecto.com.ar/incidents/view/831161-0</v>
      </c>
      <c r="O202" s="21"/>
      <c r="P202" s="22"/>
    </row>
    <row r="203" spans="1:16" s="23" customFormat="1" ht="21" customHeight="1" thickBot="1" x14ac:dyDescent="0.25">
      <c r="A203" s="28">
        <v>1</v>
      </c>
      <c r="B203" s="29" t="s">
        <v>569</v>
      </c>
      <c r="C203" s="18" t="s">
        <v>19</v>
      </c>
      <c r="D203" s="18" t="s">
        <v>36</v>
      </c>
      <c r="E203" s="18" t="s">
        <v>27</v>
      </c>
      <c r="F203" s="18" t="s">
        <v>570</v>
      </c>
      <c r="G203" s="18" t="s">
        <v>571</v>
      </c>
      <c r="H203" s="19">
        <v>20260423</v>
      </c>
      <c r="I203" s="15" t="str">
        <f t="shared" si="20"/>
        <v>Jachal</v>
      </c>
      <c r="J203" s="15">
        <f t="shared" si="21"/>
        <v>345</v>
      </c>
      <c r="K203" s="15"/>
      <c r="L203" s="20" t="str">
        <f t="shared" si="22"/>
        <v>https://www.google.com/maps/dir/Catamarca+Sur+664,+San+Juan/Escuela+Provincia+de+Chubut,+Villa+San+Isidro,+San+Juan/Catamarca+Sur+664,+San+Juan/@-30.8386676,-69.9413958,318343m/data=!3m2!1e3!4b1!4m20!4m19!1m5!1m1!1s0x9681402690dd76eb:0x4b283f8fe10ce3f3!2m2!1d-68.5293761!2d-31.5426363!1m5!1m1!1s0x968343c45a2af58b:0x7fc2ad3ddc78e93c!2m2!1d-68.7000846!2d-30.1404309!1m5!1m1!1s0x9681402690dd76eb:0x4b283f8fe10ce3f3!2m2!1d-68.5293761!2d-31.5426363!3e0?entry=ttu&amp;g_ep=EgoyMDI1MDgxMy4wIKXMDSoASAFQAw%3D%3D</v>
      </c>
      <c r="M203" s="21" t="str">
        <f t="shared" si="18"/>
        <v>https://webagentes.canaldirecto.com.ar/incidents/view/831160-1</v>
      </c>
      <c r="N203" s="21" t="str">
        <f t="shared" si="19"/>
        <v>https://webagentes.canaldirecto.com.ar/incidents/view/831160-1</v>
      </c>
      <c r="O203" s="21"/>
      <c r="P203" s="22"/>
    </row>
    <row r="204" spans="1:16" s="23" customFormat="1" ht="21" customHeight="1" thickBot="1" x14ac:dyDescent="0.25">
      <c r="A204" s="24">
        <v>3</v>
      </c>
      <c r="B204" s="25" t="s">
        <v>572</v>
      </c>
      <c r="C204" s="18" t="s">
        <v>19</v>
      </c>
      <c r="D204" s="18" t="s">
        <v>36</v>
      </c>
      <c r="E204" s="18" t="s">
        <v>27</v>
      </c>
      <c r="F204" s="18" t="s">
        <v>573</v>
      </c>
      <c r="G204" s="18" t="s">
        <v>574</v>
      </c>
      <c r="H204" s="19">
        <v>20260423</v>
      </c>
      <c r="I204" s="15" t="str">
        <f t="shared" si="20"/>
        <v>NIQUIVIL</v>
      </c>
      <c r="J204" s="15">
        <f t="shared" si="21"/>
        <v>277</v>
      </c>
      <c r="K204" s="15"/>
      <c r="L204" s="20" t="str">
        <f t="shared" si="22"/>
        <v>google.com/maps/dir/Catamarca+Sur,+San+Juan/Escuela+José+Matías+Zapiola,+Niquivil,+San+Juan/Catamarca+Sur,+San+Juan/@-30.9702881,-69.26316,158953m/data=!3m1!1e3!4m20!4m19!1m5!1m1!1s0x968140269756b7e1:0x3c38eb6d66eb45d!2m2!1d-68.5295918!2d-31.5427459!1m5!1m1!1s0x9683706ae4aae525:0x60ef373ea151a26a!2m2!1d-68.6945325!2d-30.399619!1m5!1m1!1s0x968140269756b7e1:0x3c38eb6d66eb45d!2m2!1d-68.5295918!2d-31.5427459!3e0?hl=es&amp;entry=ttu&amp;g_ep=EgoyMDI1MTIwOS4wIKXMDSoASAFQAw%3D%3D</v>
      </c>
      <c r="M204" s="21" t="str">
        <f t="shared" si="18"/>
        <v>https://webagentes.canaldirecto.com.ar/incidents/view/831159-5</v>
      </c>
      <c r="N204" s="21" t="str">
        <f t="shared" si="19"/>
        <v>https://webagentes.canaldirecto.com.ar/incidents/view/831159-5</v>
      </c>
      <c r="O204" s="21"/>
      <c r="P204" s="22"/>
    </row>
    <row r="205" spans="1:16" s="23" customFormat="1" ht="21" customHeight="1" thickBot="1" x14ac:dyDescent="0.25">
      <c r="A205" s="24">
        <v>3</v>
      </c>
      <c r="B205" s="25" t="s">
        <v>575</v>
      </c>
      <c r="C205" s="18" t="s">
        <v>19</v>
      </c>
      <c r="D205" s="18" t="s">
        <v>36</v>
      </c>
      <c r="E205" s="18" t="s">
        <v>27</v>
      </c>
      <c r="F205" s="18" t="s">
        <v>576</v>
      </c>
      <c r="G205" s="18" t="s">
        <v>577</v>
      </c>
      <c r="H205" s="19">
        <v>20260423</v>
      </c>
      <c r="I205" s="15" t="str">
        <f t="shared" si="20"/>
        <v>Jachal</v>
      </c>
      <c r="J205" s="15">
        <v>385</v>
      </c>
      <c r="K205" s="15">
        <v>385</v>
      </c>
      <c r="L205" s="20" t="str">
        <f t="shared" si="22"/>
        <v>https://www.google.com/maps/dir/Catamarca+Sur+664,+San+Juan/Escuela+Federico+Cantoni,+Unnamed+Road,+Huaco,+San+Juan/Catamarca+Sur+664,+San+Juan/@-30.8371564,-69.9157607,318348m/data=!3m1!1e3!4m20!4m19!1m5!1m1!1s0x9681402690dd76eb:0x4b283f8fe10ce3f3!2m2!1d-68.5293761!2d-31.5426363!1m5!1m1!1s0x96833fd3954a63a7:0xb192e707ae3008d9!2m2!1d-68.4826458!2d-30.1585408!1m5!1m1!1s0x9681402690dd76eb:0x4b283f8fe10ce3f3!2m2!1d-68.5293761!2d-31.5426363!3e0?hl=es&amp;entry=ttu&amp;g_ep=EgoyMDI1MDgxMy4wIKXMDSoASAFQAw%3D%3D</v>
      </c>
      <c r="M205" s="21" t="str">
        <f t="shared" si="18"/>
        <v>https://webagentes.canaldirecto.com.ar/incidents/view/831158-6</v>
      </c>
      <c r="N205" s="21" t="str">
        <f t="shared" si="19"/>
        <v>https://webagentes.canaldirecto.com.ar/incidents/view/831158-6</v>
      </c>
      <c r="O205" s="21"/>
      <c r="P205" s="22"/>
    </row>
    <row r="206" spans="1:16" s="23" customFormat="1" ht="21" customHeight="1" thickBot="1" x14ac:dyDescent="0.25">
      <c r="A206" s="24">
        <v>3</v>
      </c>
      <c r="B206" s="25" t="s">
        <v>578</v>
      </c>
      <c r="C206" s="18" t="s">
        <v>19</v>
      </c>
      <c r="D206" s="18" t="s">
        <v>36</v>
      </c>
      <c r="E206" s="18" t="s">
        <v>27</v>
      </c>
      <c r="F206" s="18" t="s">
        <v>579</v>
      </c>
      <c r="G206" s="18" t="s">
        <v>580</v>
      </c>
      <c r="H206" s="19">
        <v>20260423</v>
      </c>
      <c r="I206" s="15" t="e">
        <f t="shared" si="20"/>
        <v>#N/A</v>
      </c>
      <c r="J206" s="15" t="e">
        <f t="shared" si="21"/>
        <v>#N/A</v>
      </c>
      <c r="K206" s="15"/>
      <c r="L206" s="20" t="e">
        <f t="shared" si="22"/>
        <v>#N/A</v>
      </c>
      <c r="M206" s="21" t="str">
        <f t="shared" si="18"/>
        <v>https://webagentes.canaldirecto.com.ar/incidents/view/831157-7</v>
      </c>
      <c r="N206" s="21" t="str">
        <f t="shared" si="19"/>
        <v>https://webagentes.canaldirecto.com.ar/incidents/view/831157-7</v>
      </c>
      <c r="O206" s="21"/>
      <c r="P206" s="22"/>
    </row>
    <row r="207" spans="1:16" s="23" customFormat="1" ht="21" customHeight="1" thickBot="1" x14ac:dyDescent="0.25">
      <c r="A207" s="24">
        <v>3</v>
      </c>
      <c r="B207" s="25" t="s">
        <v>581</v>
      </c>
      <c r="C207" s="18" t="s">
        <v>19</v>
      </c>
      <c r="D207" s="18" t="s">
        <v>36</v>
      </c>
      <c r="E207" s="18" t="s">
        <v>27</v>
      </c>
      <c r="F207" s="18" t="s">
        <v>582</v>
      </c>
      <c r="G207" s="18" t="s">
        <v>583</v>
      </c>
      <c r="H207" s="19">
        <v>20260423</v>
      </c>
      <c r="I207" s="15" t="str">
        <f t="shared" si="20"/>
        <v>Jachal</v>
      </c>
      <c r="J207" s="15">
        <f t="shared" si="21"/>
        <v>323</v>
      </c>
      <c r="K207" s="15"/>
      <c r="L207" s="20" t="str">
        <f t="shared" si="22"/>
        <v>https://www.google.com/maps/dir/Catamarca+Sur+664,+San+Juan/Escuela+Normal+Superior+Fray+Justo+Santa+Mar%C3%ADa+De+Oro,+J5460+San+Jose+de+Jachal,+San+Juan/Catamarca+Sur+664,+San+Juan/@-30.887069,-69.2904007,159091m/data=!3m1!1e3!4m20!4m19!1m5!1m1!1s0x9681402690dd76eb:0x4b283f8fe10ce3f3!2m2!1d-68.5293761!2d-31.5426363!1m5!1m1!1s0x968367b014e7d7e1:0xb85d7057c6dbd035!2m2!1d-68.7498693!2d-30.2429646!1m5!1m1!1s0x9681402690dd76eb:0x4b283f8fe10ce3f3!2m2!1d-68.5293761!2d-31.5426363!3e0?entry=ttu&amp;g_ep=EgoyMDI1MDgxMy4wIKXMDSoASAFQAw%3D%3D</v>
      </c>
      <c r="M207" s="21" t="str">
        <f t="shared" si="18"/>
        <v>https://webagentes.canaldirecto.com.ar/incidents/view/831156-8</v>
      </c>
      <c r="N207" s="21" t="str">
        <f t="shared" si="19"/>
        <v>https://webagentes.canaldirecto.com.ar/incidents/view/831156-8</v>
      </c>
      <c r="O207" s="21"/>
      <c r="P207" s="22"/>
    </row>
    <row r="208" spans="1:16" s="23" customFormat="1" ht="21" customHeight="1" thickBot="1" x14ac:dyDescent="0.25">
      <c r="A208" s="24">
        <v>3</v>
      </c>
      <c r="B208" s="25" t="s">
        <v>584</v>
      </c>
      <c r="C208" s="18" t="s">
        <v>19</v>
      </c>
      <c r="D208" s="18" t="s">
        <v>36</v>
      </c>
      <c r="E208" s="18" t="s">
        <v>27</v>
      </c>
      <c r="F208" s="18" t="s">
        <v>585</v>
      </c>
      <c r="G208" s="18" t="s">
        <v>586</v>
      </c>
      <c r="H208" s="19">
        <v>20260423</v>
      </c>
      <c r="I208" s="15" t="str">
        <f t="shared" si="20"/>
        <v>Jachal</v>
      </c>
      <c r="J208" s="15">
        <f t="shared" si="21"/>
        <v>321</v>
      </c>
      <c r="K208" s="15"/>
      <c r="L208" s="20" t="str">
        <f t="shared" si="22"/>
        <v>https://www.google.com/maps/dir/Catamarca+Sur+664,+San+Juan/Escuela+Antonio+Quaranta,+Rawson,+J5460+San+Jose+de+Jachal,+San+Juan/Catamarca+Sur+664,+San+Juan/@-30.4163517,-69.1397133,72902m/data=!3m1!1e3!4m20!4m19!1m5!1m1!1s0x9681402690dd76eb:0x4b283f8fe10ce3f3!2m2!1d-68.5293761!2d-31.5426363!1m5!1m1!1s0x96836758ac1b710d:0x62465014fa63bf12!2m2!1d-68.7455392!2d-30.2460323!1m5!1m1!1s0x9681402690dd76eb:0x4b283f8fe10ce3f3!2m2!1d-68.5293761!2d-31.5426363!3e0?entry=ttu&amp;g_ep=EgoyMDI1MDgxMy4wIKXMDSoASAFQAw%3D%3D</v>
      </c>
      <c r="M208" s="21" t="str">
        <f t="shared" si="18"/>
        <v>https://webagentes.canaldirecto.com.ar/incidents/view/831155-9</v>
      </c>
      <c r="N208" s="21" t="str">
        <f t="shared" si="19"/>
        <v>https://webagentes.canaldirecto.com.ar/incidents/view/831155-9</v>
      </c>
      <c r="O208" s="21"/>
      <c r="P208" s="22"/>
    </row>
    <row r="209" spans="1:16" s="23" customFormat="1" ht="21" customHeight="1" thickBot="1" x14ac:dyDescent="0.25">
      <c r="A209" s="24">
        <v>3</v>
      </c>
      <c r="B209" s="25" t="s">
        <v>587</v>
      </c>
      <c r="C209" s="18" t="s">
        <v>19</v>
      </c>
      <c r="D209" s="18" t="s">
        <v>36</v>
      </c>
      <c r="E209" s="18" t="s">
        <v>27</v>
      </c>
      <c r="F209" s="18" t="s">
        <v>588</v>
      </c>
      <c r="G209" s="18" t="s">
        <v>589</v>
      </c>
      <c r="H209" s="19">
        <v>20260423</v>
      </c>
      <c r="I209" s="15" t="e">
        <f t="shared" si="20"/>
        <v>#N/A</v>
      </c>
      <c r="J209" s="15" t="e">
        <f t="shared" si="21"/>
        <v>#N/A</v>
      </c>
      <c r="K209" s="15"/>
      <c r="L209" s="20" t="e">
        <f t="shared" si="22"/>
        <v>#N/A</v>
      </c>
      <c r="M209" s="21" t="str">
        <f t="shared" si="18"/>
        <v>https://webagentes.canaldirecto.com.ar/incidents/view/831154-0</v>
      </c>
      <c r="N209" s="21" t="str">
        <f t="shared" si="19"/>
        <v>https://webagentes.canaldirecto.com.ar/incidents/view/831154-0</v>
      </c>
      <c r="O209" s="21"/>
      <c r="P209" s="22"/>
    </row>
    <row r="210" spans="1:16" s="23" customFormat="1" ht="21" customHeight="1" thickBot="1" x14ac:dyDescent="0.25">
      <c r="A210" s="16">
        <v>2</v>
      </c>
      <c r="B210" s="17" t="s">
        <v>590</v>
      </c>
      <c r="C210" s="18" t="s">
        <v>19</v>
      </c>
      <c r="D210" s="18" t="s">
        <v>36</v>
      </c>
      <c r="E210" s="18" t="s">
        <v>27</v>
      </c>
      <c r="F210" s="18" t="s">
        <v>591</v>
      </c>
      <c r="G210" s="18" t="s">
        <v>592</v>
      </c>
      <c r="H210" s="19">
        <v>20260423</v>
      </c>
      <c r="I210" s="15" t="str">
        <f t="shared" si="20"/>
        <v>9 de Julio.</v>
      </c>
      <c r="J210" s="15">
        <f t="shared" si="21"/>
        <v>29.4</v>
      </c>
      <c r="K210" s="15">
        <v>29.4</v>
      </c>
      <c r="L210" s="20" t="str">
        <f t="shared" si="22"/>
        <v>https://www.google.com/maps/dir/Catamarca+Sur+664,+San+Juan/Escuela+Dr.+Luis+Agote,+Nueve+de+Julio,+San+Juan/Catamarca+Sur+664,+San+Juan/@-31.5675666,-68.5110686,9872m/data=!3m2!1e3!4b1!4m20!4m19!1m5!1m1!1s0x9681402690dd76eb:0x4b283f8fe10ce3f3!2m2!1d-68.5293761!2d-31.5426363!1m5!1m1!1s0x9681135bd23f119f:0xf4f5be61ec24ccf6!2m2!1d-68.4113758!2d-31.5916694!1m5!1m1!1s0x9681402690dd76eb:0x4b283f8fe10ce3f3!2m2!1d-68.5293761!2d-31.5426363!3e0?entry=ttu&amp;g_ep=EgoyMDI1MDgxMy4wIKXMDSoASAFQAw%3D%3D</v>
      </c>
      <c r="M210" s="21" t="str">
        <f t="shared" si="18"/>
        <v>https://webagentes.canaldirecto.com.ar/incidents/view/831153-1</v>
      </c>
      <c r="N210" s="21" t="str">
        <f t="shared" si="19"/>
        <v>https://webagentes.canaldirecto.com.ar/incidents/view/831153-1</v>
      </c>
      <c r="O210" s="21"/>
      <c r="P210" s="22"/>
    </row>
    <row r="211" spans="1:16" s="23" customFormat="1" ht="21" customHeight="1" thickBot="1" x14ac:dyDescent="0.25">
      <c r="A211" s="16">
        <v>2</v>
      </c>
      <c r="B211" s="17" t="s">
        <v>593</v>
      </c>
      <c r="C211" s="18" t="s">
        <v>19</v>
      </c>
      <c r="D211" s="18" t="s">
        <v>36</v>
      </c>
      <c r="E211" s="18" t="s">
        <v>27</v>
      </c>
      <c r="F211" s="18" t="s">
        <v>594</v>
      </c>
      <c r="G211" s="18" t="s">
        <v>595</v>
      </c>
      <c r="H211" s="19">
        <v>20260423</v>
      </c>
      <c r="I211" s="15" t="str">
        <f t="shared" si="20"/>
        <v>9 de Julio.</v>
      </c>
      <c r="J211" s="15">
        <f t="shared" si="21"/>
        <v>29.4</v>
      </c>
      <c r="K211" s="15"/>
      <c r="L211" s="20" t="str">
        <f t="shared" si="22"/>
        <v>https://www.google.com/maps/dir/Catamarca+Sur+664,+San+Juan/Escuela+Dr.+Luis+Agote,+Ruta+Nacional+N%C2%B020,+Km+16,+Nueve+de+Julio,+San+Juan/Catamarca+Sur+664,+San+Juan/@-31.566592,-68.5117372,9872m/data=!3m1!1e3!4m20!4m19!1m5!1m1!1s0x9681402690dd76eb:0x4b283f8fe10ce3f3!2m2!1d-68.5293761!2d-31.5426363!1m5!1m1!1s0x9681135bd23f119f:0xf4f5be61ec24ccf6!2m2!1d-68.4113758!2d-31.5916694!1m5!1m1!1s0x9681402690dd76eb:0x4b283f8fe10ce3f3!2m2!1d-68.5293761!2d-31.5426363!3e0?hl=es&amp;entry=ttu&amp;g_ep=EgoyMDI1MDgxMy4wIKXMDSoASAFQAw%3D%3D</v>
      </c>
      <c r="M211" s="21" t="str">
        <f t="shared" si="18"/>
        <v>https://webagentes.canaldirecto.com.ar/incidents/view/831152-2</v>
      </c>
      <c r="N211" s="21" t="str">
        <f t="shared" si="19"/>
        <v>https://webagentes.canaldirecto.com.ar/incidents/view/831152-2</v>
      </c>
      <c r="O211" s="21"/>
      <c r="P211" s="22"/>
    </row>
    <row r="212" spans="1:16" s="23" customFormat="1" ht="21" customHeight="1" thickBot="1" x14ac:dyDescent="0.25">
      <c r="A212" s="24">
        <v>3</v>
      </c>
      <c r="B212" s="25" t="s">
        <v>596</v>
      </c>
      <c r="C212" s="18" t="s">
        <v>19</v>
      </c>
      <c r="D212" s="18" t="s">
        <v>36</v>
      </c>
      <c r="E212" s="18" t="s">
        <v>27</v>
      </c>
      <c r="F212" s="18" t="s">
        <v>597</v>
      </c>
      <c r="G212" s="18" t="s">
        <v>598</v>
      </c>
      <c r="H212" s="19">
        <v>20260423</v>
      </c>
      <c r="I212" s="15" t="str">
        <f t="shared" si="20"/>
        <v>Jachal</v>
      </c>
      <c r="J212" s="15">
        <f t="shared" si="21"/>
        <v>319</v>
      </c>
      <c r="K212" s="15"/>
      <c r="L212" s="20" t="str">
        <f t="shared" si="22"/>
        <v>https://www.google.com/maps/dir/Catamarca+Sur+664,+San+Juan/Escuela+de+Comercio+Eusebio+de+Jesus+Dojorti,+Chubut,+Jujuy+y,+San+Jose+de+Jachal,+San+Juan/Catamarca+Sur+664,+San+Juan/@-30.895079,-69.2780677,159078m/data=!3m2!1e3!4b1!4m20!4m19!1m5!1m1!1s0x9681402690dd76eb:0x4b283f8fe10ce3f3!2m2!1d-68.5293761!2d-31.5426363!1m5!1m1!1s0x9683675b1411871f:0x7152ee1c86e27f52!2m2!1d-68.73182!2d-30.2439275!1m5!1m1!1s0x9681402690dd76eb:0x4b283f8fe10ce3f3!2m2!1d-68.5293761!2d-31.5426363!3e0?entry=ttu&amp;g_ep=EgoyMDI1MDgxMy4wIKXMDSoASAFQAw%3D%3D</v>
      </c>
      <c r="M212" s="21" t="str">
        <f t="shared" si="18"/>
        <v>https://webagentes.canaldirecto.com.ar/incidents/view/831151-3</v>
      </c>
      <c r="N212" s="21" t="str">
        <f t="shared" si="19"/>
        <v>https://webagentes.canaldirecto.com.ar/incidents/view/831151-3</v>
      </c>
      <c r="O212" s="21"/>
      <c r="P212" s="22"/>
    </row>
    <row r="213" spans="1:16" s="23" customFormat="1" ht="21" customHeight="1" thickBot="1" x14ac:dyDescent="0.25">
      <c r="A213" s="24">
        <v>3</v>
      </c>
      <c r="B213" s="25" t="s">
        <v>599</v>
      </c>
      <c r="C213" s="18" t="s">
        <v>19</v>
      </c>
      <c r="D213" s="18" t="s">
        <v>36</v>
      </c>
      <c r="E213" s="18" t="s">
        <v>27</v>
      </c>
      <c r="F213" s="18" t="s">
        <v>600</v>
      </c>
      <c r="G213" s="18" t="s">
        <v>601</v>
      </c>
      <c r="H213" s="19">
        <v>20260423</v>
      </c>
      <c r="I213" s="15" t="str">
        <f t="shared" si="20"/>
        <v>Jachal</v>
      </c>
      <c r="J213" s="15">
        <f t="shared" si="21"/>
        <v>323</v>
      </c>
      <c r="K213" s="15"/>
      <c r="L213" s="20" t="str">
        <f t="shared" si="22"/>
        <v>https://www.google.com/maps/dir/Catamarca+Sur+664,+San+Juan/Escuela+Normal+Superior+Fray+Justo+Santa+Mar%C3%ADa+De+Oro,+J5460+San+Jose+de+Jachal,+San+Juan/Catamarca+Sur+664,+San+Juan/@-30.8913997,-69.2859766,159084m/data=!3m2!1e3!4b1!4m20!4m19!1m5!1m1!1s0x9681402690dd76eb:0x4b283f8fe10ce3f3!2m2!1d-68.5293761!2d-31.5426363!1m5!1m1!1s0x968367b014e7d7e1:0xb85d7057c6dbd035!2m2!1d-68.7498693!2d-30.2429646!1m5!1m1!1s0x9681402690dd76eb:0x4b283f8fe10ce3f3!2m2!1d-68.5293761!2d-31.5426363!3e0?hl=es&amp;entry=ttu&amp;g_ep=EgoyMDI1MDczMC4wIKXMDSoASAFQAw%3D%3D</v>
      </c>
      <c r="M213" s="21" t="str">
        <f t="shared" si="18"/>
        <v>https://webagentes.canaldirecto.com.ar/incidents/view/831150-4</v>
      </c>
      <c r="N213" s="21" t="str">
        <f t="shared" si="19"/>
        <v>https://webagentes.canaldirecto.com.ar/incidents/view/831150-4</v>
      </c>
      <c r="O213" s="21"/>
      <c r="P213" s="22"/>
    </row>
    <row r="214" spans="1:16" s="23" customFormat="1" ht="21" customHeight="1" thickBot="1" x14ac:dyDescent="0.25">
      <c r="A214" s="24">
        <v>3</v>
      </c>
      <c r="B214" s="25" t="s">
        <v>602</v>
      </c>
      <c r="C214" s="18" t="s">
        <v>19</v>
      </c>
      <c r="D214" s="18" t="s">
        <v>36</v>
      </c>
      <c r="E214" s="18" t="s">
        <v>27</v>
      </c>
      <c r="F214" s="18" t="s">
        <v>582</v>
      </c>
      <c r="G214" s="18" t="s">
        <v>603</v>
      </c>
      <c r="H214" s="19">
        <v>20260423</v>
      </c>
      <c r="I214" s="15" t="str">
        <f t="shared" si="20"/>
        <v>Jachal</v>
      </c>
      <c r="J214" s="15">
        <f t="shared" si="21"/>
        <v>323</v>
      </c>
      <c r="K214" s="15"/>
      <c r="L214" s="20" t="str">
        <f t="shared" si="22"/>
        <v>https://www.google.com/maps/dir/Catamarca+Sur+664,+San+Juan/Escuela+Normal+Superior+Fray+Justo+Santa+Mar%C3%ADa+De+Oro,+J5460+San+Jose+de+Jachal,+San+Juan/Catamarca+Sur+664,+San+Juan/@-30.8866406,-69.2908382,159092m/data=!3m1!1e3!4m20!4m19!1m5!1m1!1s0x9681402690dd76eb:0x4b283f8fe10ce3f3!2m2!1d-68.5293761!2d-31.5426363!1m5!1m1!1s0x968367b014e7d7e1:0xb85d7057c6dbd035!2m2!1d-68.7498693!2d-30.2429646!1m5!1m1!1s0x9681402690dd76eb:0x4b283f8fe10ce3f3!2m2!1d-68.5293761!2d-31.5426363!3e0?hl=es&amp;entry=ttu&amp;g_ep=EgoyMDI1MDczMC4wIKXMDSoASAFQAw%3D%3D</v>
      </c>
      <c r="M214" s="21" t="str">
        <f t="shared" si="18"/>
        <v>https://webagentes.canaldirecto.com.ar/incidents/view/831149-8</v>
      </c>
      <c r="N214" s="21" t="str">
        <f t="shared" si="19"/>
        <v>https://webagentes.canaldirecto.com.ar/incidents/view/831149-8</v>
      </c>
      <c r="O214" s="21"/>
      <c r="P214" s="22"/>
    </row>
    <row r="215" spans="1:16" s="23" customFormat="1" ht="21" customHeight="1" thickBot="1" x14ac:dyDescent="0.25">
      <c r="A215" s="24">
        <v>3</v>
      </c>
      <c r="B215" s="25" t="s">
        <v>604</v>
      </c>
      <c r="C215" s="18" t="s">
        <v>19</v>
      </c>
      <c r="D215" s="18" t="s">
        <v>36</v>
      </c>
      <c r="E215" s="18" t="s">
        <v>27</v>
      </c>
      <c r="F215" s="18" t="s">
        <v>579</v>
      </c>
      <c r="G215" s="18" t="s">
        <v>605</v>
      </c>
      <c r="H215" s="19">
        <v>20260423</v>
      </c>
      <c r="I215" s="15" t="str">
        <f t="shared" si="20"/>
        <v>Jachal</v>
      </c>
      <c r="J215" s="15">
        <f t="shared" si="21"/>
        <v>322</v>
      </c>
      <c r="K215" s="15"/>
      <c r="L215" s="20" t="str">
        <f t="shared" si="22"/>
        <v>https://www.google.com/maps/dir/Catamarca+Sur+664,+San+Juan/Escuela+Provincia+De+La+Pampa,+25+de+Mayo,+J5460+San+Jose+de+Jachal,+San+Juan/Catamarca+Sur+664,+San+Juan/@-30.8871724,-69.2894738,159091m/data=!3m1!1e3!4m20!4m19!1m5!1m1!1s0x9681402690dd76eb:0x4b283f8fe10ce3f3!2m2!1d-68.5293761!2d-31.5426363!1m5!1m1!1s0x968367a3479383ad:0x1019e4a2591ea2c5!2m2!1d-68.7477031!2d-30.236746!1m5!1m1!1s0x9681402690dd76eb:0x4b283f8fe10ce3f3!2m2!1d-68.5293761!2d-31.5426363!3e0?hl=es&amp;entry=ttu&amp;g_ep=EgoyMDI1MDczMC4wIKXMDSoASAFQAw%3D%3D</v>
      </c>
      <c r="M215" s="21" t="str">
        <f t="shared" si="18"/>
        <v>https://webagentes.canaldirecto.com.ar/incidents/view/831148-9</v>
      </c>
      <c r="N215" s="21" t="str">
        <f t="shared" si="19"/>
        <v>https://webagentes.canaldirecto.com.ar/incidents/view/831148-9</v>
      </c>
      <c r="O215" s="21"/>
      <c r="P215" s="22"/>
    </row>
    <row r="216" spans="1:16" s="23" customFormat="1" ht="21" customHeight="1" thickBot="1" x14ac:dyDescent="0.25">
      <c r="A216" s="24">
        <v>3</v>
      </c>
      <c r="B216" s="25" t="s">
        <v>606</v>
      </c>
      <c r="C216" s="18" t="s">
        <v>19</v>
      </c>
      <c r="D216" s="18" t="s">
        <v>36</v>
      </c>
      <c r="E216" s="18" t="s">
        <v>27</v>
      </c>
      <c r="F216" s="18" t="s">
        <v>607</v>
      </c>
      <c r="G216" s="18" t="s">
        <v>608</v>
      </c>
      <c r="H216" s="19">
        <v>20260423</v>
      </c>
      <c r="I216" s="15">
        <f t="shared" si="20"/>
        <v>45802</v>
      </c>
      <c r="J216" s="15">
        <f t="shared" si="21"/>
        <v>73.5</v>
      </c>
      <c r="K216" s="15"/>
      <c r="L216" s="20" t="str">
        <f t="shared" si="22"/>
        <v>https://www.google.com/maps/dir/Catamarca+Sur+664,+San+Juan/Escuela+Provincia+de+San+Juan,+25+de+Mayo+y+Mitre+S%2FN,+Villa+Santa+Rosa,+Dpto,+San+Juan/Catamarca+Sur+664,+San+Juan/@-31.6438039,-68.584671,39455m/data=!3m2!1e3!4b1!4m20!4m19!1m5!1m1!1s0x9681402690dd76eb:0x4b283f8fe10ce3f3!2m2!1d-68.5293623!2d-31.542635!1m5!1m1!1s0x96810596e695f093:0x4bee11bf244e827f!2m2!1d-68.3143901!2d-31.7470534!1m5!1m1!1s0x9681402690dd76eb:0x4b283f8fe10ce3f3!2m2!1d-68.5293623!2d-31.542635!3e0?hl=es&amp;entry=ttu&amp;g_ep=EgoyMDI1MDgxOS4wIKXMDSoASAFQAw%3D%3D</v>
      </c>
      <c r="M216" s="21" t="str">
        <f t="shared" si="18"/>
        <v>https://webagentes.canaldirecto.com.ar/incidents/view/831147-0</v>
      </c>
      <c r="N216" s="21" t="str">
        <f t="shared" si="19"/>
        <v>https://webagentes.canaldirecto.com.ar/incidents/view/831147-0</v>
      </c>
      <c r="O216" s="21"/>
      <c r="P216" s="22"/>
    </row>
    <row r="217" spans="1:16" s="23" customFormat="1" ht="21" customHeight="1" thickBot="1" x14ac:dyDescent="0.25">
      <c r="A217" s="24">
        <v>3</v>
      </c>
      <c r="B217" s="25" t="s">
        <v>609</v>
      </c>
      <c r="C217" s="18" t="s">
        <v>19</v>
      </c>
      <c r="D217" s="18" t="s">
        <v>36</v>
      </c>
      <c r="E217" s="18" t="s">
        <v>27</v>
      </c>
      <c r="F217" s="18" t="s">
        <v>610</v>
      </c>
      <c r="G217" s="18" t="s">
        <v>611</v>
      </c>
      <c r="H217" s="19">
        <v>20260423</v>
      </c>
      <c r="I217" s="15" t="str">
        <f t="shared" si="20"/>
        <v>Jáchal</v>
      </c>
      <c r="J217" s="15">
        <f t="shared" si="21"/>
        <v>382</v>
      </c>
      <c r="K217" s="15"/>
      <c r="L217" s="20" t="str">
        <f t="shared" si="22"/>
        <v>https://www.google.com/maps/dir/Catamarca+Sur+664,+San+Juan/Escuela+795+Esc.+Doctor+Alfredo+Calcagno,+RN40,+Huaco,+San+Juan/Catamarca+Sur+664,+San+Juan/@-30.8323732,-69.9246187,318364m/data=!3m1!1e3!4m20!4m19!1m5!1m1!1s0x9681402690dd76eb:0x4b283f8fe10ce3f3!2m2!1d-68.5293761!2d-31.5426363!1m5!1m1!1s0x96833fde2a55620f:0xbd66e3b2d8bc1609!2m2!1d-68.5109671!2d-30.1380132!1m5!1m1!1s0x9681402690dd76eb:0x4b283f8fe10ce3f3!2m2!1d-68.5293761!2d-31.5426363!3e0?entry=ttu&amp;g_ep=EgoyMDI1MDgxMy4wIKXMDSoASAFQAw%3D%3D</v>
      </c>
      <c r="M217" s="21" t="str">
        <f t="shared" si="18"/>
        <v>https://webagentes.canaldirecto.com.ar/incidents/view/831146-1</v>
      </c>
      <c r="N217" s="21" t="str">
        <f t="shared" si="19"/>
        <v>https://webagentes.canaldirecto.com.ar/incidents/view/831146-1</v>
      </c>
      <c r="O217" s="21"/>
      <c r="P217" s="22"/>
    </row>
    <row r="218" spans="1:16" s="23" customFormat="1" ht="21" customHeight="1" thickBot="1" x14ac:dyDescent="0.25">
      <c r="A218" s="24">
        <v>3</v>
      </c>
      <c r="B218" s="25" t="s">
        <v>612</v>
      </c>
      <c r="C218" s="18" t="s">
        <v>19</v>
      </c>
      <c r="D218" s="18" t="s">
        <v>36</v>
      </c>
      <c r="E218" s="18" t="s">
        <v>27</v>
      </c>
      <c r="F218" s="18" t="s">
        <v>613</v>
      </c>
      <c r="G218" s="18" t="s">
        <v>614</v>
      </c>
      <c r="H218" s="19">
        <v>20260423</v>
      </c>
      <c r="I218" s="15" t="str">
        <f t="shared" si="20"/>
        <v>Jachal</v>
      </c>
      <c r="J218" s="15">
        <f t="shared" si="21"/>
        <v>378</v>
      </c>
      <c r="K218" s="15"/>
      <c r="L218" s="20" t="str">
        <f t="shared" si="22"/>
        <v>https://www.google.com/maps/dir/Catamarca+Sur+664,+San+Juan/Escuela+Buenaventura+Luna,+Huaco,+San+Juan/Catamarca+Sur+664,+San+Juan/@-30.8536697,-69.9153403,318293m/data=!3m2!1e3!4b1!4m20!4m19!1m5!1m1!1s0x9681402690dd76eb:0x4b283f8fe10ce3f3!2m2!1d-68.5293761!2d-31.5426363!1m5!1m1!1s0x9683156d046a59a9:0xa74ecb123e990cf6!2m2!1d-68.478853!2d-30.1738901!1m5!1m1!1s0x9681402690dd76eb:0x4b283f8fe10ce3f3!2m2!1d-68.5293761!2d-31.5426363!3e0?hl=es&amp;entry=ttu&amp;g_ep=EgoyMDI1MDczMC4wIKXMDSoASAFQAw%3D%3D</v>
      </c>
      <c r="M218" s="21" t="str">
        <f t="shared" si="18"/>
        <v>https://webagentes.canaldirecto.com.ar/incidents/view/831145-2</v>
      </c>
      <c r="N218" s="21" t="str">
        <f t="shared" si="19"/>
        <v>https://webagentes.canaldirecto.com.ar/incidents/view/831145-2</v>
      </c>
      <c r="O218" s="21"/>
      <c r="P218" s="22"/>
    </row>
    <row r="219" spans="1:16" s="23" customFormat="1" ht="21" customHeight="1" thickBot="1" x14ac:dyDescent="0.25">
      <c r="A219" s="28">
        <v>1</v>
      </c>
      <c r="B219" s="29" t="s">
        <v>615</v>
      </c>
      <c r="C219" s="18" t="s">
        <v>19</v>
      </c>
      <c r="D219" s="18" t="s">
        <v>36</v>
      </c>
      <c r="E219" s="18" t="s">
        <v>27</v>
      </c>
      <c r="F219" s="18" t="s">
        <v>616</v>
      </c>
      <c r="G219" s="18" t="s">
        <v>617</v>
      </c>
      <c r="H219" s="19">
        <v>20260423</v>
      </c>
      <c r="I219" s="15" t="str">
        <f t="shared" si="20"/>
        <v>Jachal</v>
      </c>
      <c r="J219" s="15">
        <f t="shared" si="21"/>
        <v>306</v>
      </c>
      <c r="K219" s="15"/>
      <c r="L219" s="20" t="str">
        <f t="shared" si="22"/>
        <v>https://www.google.com/maps/dir/Catamarca+Sur+664,+San+Juan/Escuela+Juan+de+Echegaray,+Ex+Ruta+Provincial+472+y+Progreso,+San+Juan/Catamarca+Sur+664,+San+Juan/@-30.9091877,-69.2722973,159054m/data=!3m1!1e3!4m20!4m19!1m5!1m1!1s0x9681402690dd76eb:0x4b283f8fe10ce3f3!2m2!1d-68.5293761!2d-31.5426363!1m5!1m1!1s0x9683697bbddbac51:0xb4ad145475a1ba2!2m2!1d-68.7035918!2d-30.2785919!1m5!1m1!1s0x9681402690dd76eb:0x4b283f8fe10ce3f3!2m2!1d-68.5293761!2d-31.5426363!3e0?entry=ttu&amp;g_ep=EgoyMDI1MDgxMy4wIKXMDSoASAFQAw%3D%3D</v>
      </c>
      <c r="M219" s="21" t="str">
        <f t="shared" si="18"/>
        <v>https://webagentes.canaldirecto.com.ar/incidents/view/831144-3</v>
      </c>
      <c r="N219" s="21" t="str">
        <f t="shared" si="19"/>
        <v>https://webagentes.canaldirecto.com.ar/incidents/view/831144-3</v>
      </c>
      <c r="O219" s="21"/>
      <c r="P219" s="22"/>
    </row>
    <row r="220" spans="1:16" s="23" customFormat="1" ht="21" customHeight="1" thickBot="1" x14ac:dyDescent="0.25">
      <c r="A220" s="28">
        <v>1</v>
      </c>
      <c r="B220" s="29" t="s">
        <v>618</v>
      </c>
      <c r="C220" s="18" t="s">
        <v>19</v>
      </c>
      <c r="D220" s="18" t="s">
        <v>36</v>
      </c>
      <c r="E220" s="18" t="s">
        <v>27</v>
      </c>
      <c r="F220" s="18" t="s">
        <v>619</v>
      </c>
      <c r="G220" s="18" t="s">
        <v>620</v>
      </c>
      <c r="H220" s="19">
        <v>20260423</v>
      </c>
      <c r="I220" s="15" t="str">
        <f t="shared" si="20"/>
        <v>JACHAL</v>
      </c>
      <c r="J220" s="15">
        <f t="shared" si="21"/>
        <v>335</v>
      </c>
      <c r="K220" s="15"/>
      <c r="L220" s="20" t="str">
        <f t="shared" si="22"/>
        <v>https://www.google.com/maps/dir/Catamarca+Sur+664,+San+Juan/Escuela+Albergue+Joaquin+V.+Gonzalez,+Pampa+del+Cha%C3%B1ar,+San+Juan/Catamarca+Sur+664,+San+Juan/@-30.8756095,-69.9413951,318220m/data=!3m2!1e3!4b1!4m20!4m19!1m5!1m1!1s0x9681402690dd76eb:0x4b283f8fe10ce3f3!2m2!1d-68.5293623!2d-31.542635!1m5!1m1!1s0x968369a527d3f6a9:0xc90e5a052f3d1a04!2m2!1d-68.6878882!2d-30.2143221!1m5!1m1!1s0x9681402690dd76eb:0x4b283f8fe10ce3f3!2m2!1d-68.5293623!2d-31.542635!3e0?entry=ttu&amp;g_ep=EgoyMDI1MDgxOS4wIKXMDSoASAFQAw%3D%3D</v>
      </c>
      <c r="M220" s="21" t="str">
        <f t="shared" si="18"/>
        <v>https://webagentes.canaldirecto.com.ar/incidents/view/831143-4</v>
      </c>
      <c r="N220" s="21" t="str">
        <f t="shared" si="19"/>
        <v>https://webagentes.canaldirecto.com.ar/incidents/view/831143-4</v>
      </c>
      <c r="O220" s="21"/>
      <c r="P220" s="22"/>
    </row>
    <row r="221" spans="1:16" s="23" customFormat="1" ht="21" customHeight="1" thickBot="1" x14ac:dyDescent="0.25">
      <c r="A221" s="28">
        <v>1</v>
      </c>
      <c r="B221" s="29" t="s">
        <v>621</v>
      </c>
      <c r="C221" s="18" t="s">
        <v>19</v>
      </c>
      <c r="D221" s="18" t="s">
        <v>36</v>
      </c>
      <c r="E221" s="18" t="s">
        <v>27</v>
      </c>
      <c r="F221" s="18" t="s">
        <v>622</v>
      </c>
      <c r="G221" s="18" t="s">
        <v>623</v>
      </c>
      <c r="H221" s="19">
        <v>20260423</v>
      </c>
      <c r="I221" s="15" t="str">
        <f t="shared" si="20"/>
        <v>Jachal (Pampa del Chañar)</v>
      </c>
      <c r="J221" s="15">
        <f t="shared" si="21"/>
        <v>345</v>
      </c>
      <c r="K221" s="15">
        <v>345</v>
      </c>
      <c r="L221" s="20" t="str">
        <f t="shared" si="22"/>
        <v>https://www.google.com/maps/dir/Catamarca+Sur+664,+San+Juan/Escuela+Dr.+Daniel+Segundo+Aubone,+Pampa+del+Cha%C3%B1ar,+San+Juan/Catamarca+Sur+664,+San+Juan/@-30.8441489,-69.9413957,318325m/data=!3m2!1e3!4b1!4m20!4m19!1m5!1m1!1s0x9681402690dd76eb:0x4b283f8fe10ce3f3!2m2!1d-68.5293761!2d-31.5426363!1m5!1m1!1s0x9683438f54e310b9:0x6d0b821c6ca56d08!2m2!1d-68.6869958!2d-30.1514283!1m5!1m1!1s0x9681402690dd76eb:0x4b283f8fe10ce3f3!2m2!1d-68.5293761!2d-31.5426363!3e0?hl=es&amp;entry=ttu&amp;g_ep=EgoyMDI1MDczMC4wIKXMDSoASAFQAw%3D%3D</v>
      </c>
      <c r="M221" s="21" t="str">
        <f t="shared" si="18"/>
        <v>https://webagentes.canaldirecto.com.ar/incidents/view/831142-5</v>
      </c>
      <c r="N221" s="21" t="str">
        <f t="shared" si="19"/>
        <v>https://webagentes.canaldirecto.com.ar/incidents/view/831142-5</v>
      </c>
      <c r="O221" s="21"/>
      <c r="P221" s="22"/>
    </row>
    <row r="222" spans="1:16" s="23" customFormat="1" ht="21" customHeight="1" thickBot="1" x14ac:dyDescent="0.25">
      <c r="A222" s="28">
        <v>1</v>
      </c>
      <c r="B222" s="29" t="s">
        <v>624</v>
      </c>
      <c r="C222" s="18" t="s">
        <v>19</v>
      </c>
      <c r="D222" s="18" t="s">
        <v>36</v>
      </c>
      <c r="E222" s="18" t="s">
        <v>27</v>
      </c>
      <c r="F222" s="18" t="s">
        <v>625</v>
      </c>
      <c r="G222" s="18" t="s">
        <v>626</v>
      </c>
      <c r="H222" s="19">
        <v>20260423</v>
      </c>
      <c r="I222" s="15" t="str">
        <f t="shared" si="20"/>
        <v>Jachal (Pachimoco)</v>
      </c>
      <c r="J222" s="15">
        <f t="shared" si="21"/>
        <v>326</v>
      </c>
      <c r="K222" s="15"/>
      <c r="L222" s="20" t="str">
        <f t="shared" si="22"/>
        <v>https://www.google.com/maps/dir/Catamarca+Sur+664,+San+Juan/Escuela+Agrot%C3%A9nica+Manuel+Belgrano,+San+Jose+de+Jachal,+San+Juan/Catamarca+Sur+664,+San+Juan/@-30.8824933,-69.2985481,159099m/data=!3m1!1e3!4m20!4m19!1m5!1m1!1s0x9681402690dd76eb:0x4b283f8fe10ce3f3!2m2!1d-68.5293761!2d-31.5426363!1m5!1m1!1s0x96836777c76de6df:0xc3c2116f8562e6ff!2m2!1d-68.763417!2d-30.2252051!1m5!1m1!1s0x9681402690dd76eb:0x4b283f8fe10ce3f3!2m2!1d-68.5293761!2d-31.5426363!3e0?hl=es&amp;entry=ttu&amp;g_ep=EgoyMDI1MDczMC4wIKXMDSoASAFQAw%3D%3D</v>
      </c>
      <c r="M222" s="21" t="str">
        <f t="shared" si="18"/>
        <v>https://webagentes.canaldirecto.com.ar/incidents/view/831141-6</v>
      </c>
      <c r="N222" s="21" t="str">
        <f t="shared" si="19"/>
        <v>https://webagentes.canaldirecto.com.ar/incidents/view/831141-6</v>
      </c>
      <c r="O222" s="21"/>
      <c r="P222" s="22"/>
    </row>
    <row r="223" spans="1:16" s="23" customFormat="1" ht="21" customHeight="1" thickBot="1" x14ac:dyDescent="0.25">
      <c r="A223" s="24">
        <v>3</v>
      </c>
      <c r="B223" s="25" t="s">
        <v>627</v>
      </c>
      <c r="C223" s="18" t="s">
        <v>19</v>
      </c>
      <c r="D223" s="18" t="s">
        <v>20</v>
      </c>
      <c r="E223" s="18" t="s">
        <v>27</v>
      </c>
      <c r="F223" s="18" t="s">
        <v>628</v>
      </c>
      <c r="G223" s="18" t="s">
        <v>629</v>
      </c>
      <c r="H223" s="19">
        <v>20260423</v>
      </c>
      <c r="I223" s="15" t="str">
        <f t="shared" si="20"/>
        <v>Jachal</v>
      </c>
      <c r="J223" s="15">
        <f t="shared" si="21"/>
        <v>322</v>
      </c>
      <c r="K223" s="15"/>
      <c r="L223" s="20" t="str">
        <f t="shared" si="22"/>
        <v>https://www.google.com/maps/dir/Catamarca+Sur+664,+San+Juan/Escuela+Provincia+De+La+Pampa,+25+de+Mayo,+J5460+San+Jose+de+Jachal,+San+Juan/Catamarca+Sur+664,+San+Juan/@-30.8916505,-69.2848992,159083m/data=!3m2!1e3!4b1!4m20!4m19!1m5!1m1!1s0x9681402690dd76eb:0x4b283f8fe10ce3f3!2m2!1d-68.5293761!2d-31.5426363!1m5!1m1!1s0x968367a3479383ad:0x1019e4a2591ea2c5!2m2!1d-68.7477031!2d-30.236746!1m5!1m1!1s0x9681402690dd76eb:0x4b283f8fe10ce3f3!2m2!1d-68.5293761!2d-31.5426363!3e0?hl=es&amp;entry=ttu&amp;g_ep=EgoyMDI1MDczMC4wIKXMDSoASAFQAw%3D%3D</v>
      </c>
      <c r="M223" s="21" t="str">
        <f t="shared" si="18"/>
        <v>https://webagentes.canaldirecto.com.ar/incidents/view/831074-5</v>
      </c>
      <c r="N223" s="21" t="str">
        <f t="shared" si="19"/>
        <v>https://webagentes.canaldirecto.com.ar/incidents/view/831074-5</v>
      </c>
      <c r="O223" s="21"/>
      <c r="P223" s="22"/>
    </row>
    <row r="224" spans="1:16" s="23" customFormat="1" ht="21" customHeight="1" thickBot="1" x14ac:dyDescent="0.25">
      <c r="A224" s="16">
        <v>2</v>
      </c>
      <c r="B224" s="17" t="s">
        <v>630</v>
      </c>
      <c r="C224" s="18" t="s">
        <v>19</v>
      </c>
      <c r="D224" s="18" t="s">
        <v>20</v>
      </c>
      <c r="E224" s="18" t="s">
        <v>27</v>
      </c>
      <c r="F224" s="18" t="s">
        <v>631</v>
      </c>
      <c r="G224" s="18" t="s">
        <v>632</v>
      </c>
      <c r="H224" s="19">
        <v>20260423</v>
      </c>
      <c r="I224" s="15" t="e">
        <f t="shared" si="20"/>
        <v>#N/A</v>
      </c>
      <c r="J224" s="15" t="e">
        <f t="shared" si="21"/>
        <v>#N/A</v>
      </c>
      <c r="K224" s="15"/>
      <c r="L224" s="20" t="e">
        <f t="shared" si="22"/>
        <v>#N/A</v>
      </c>
      <c r="M224" s="21" t="str">
        <f t="shared" si="18"/>
        <v>https://webagentes.canaldirecto.com.ar/incidents/view/830872-2</v>
      </c>
      <c r="N224" s="21" t="str">
        <f t="shared" si="19"/>
        <v>https://webagentes.canaldirecto.com.ar/incidents/view/830872-2</v>
      </c>
      <c r="O224" s="21"/>
      <c r="P224" s="22"/>
    </row>
    <row r="225" spans="1:16" s="23" customFormat="1" ht="21" customHeight="1" thickBot="1" x14ac:dyDescent="0.25">
      <c r="A225" s="16">
        <v>2</v>
      </c>
      <c r="B225" s="17" t="s">
        <v>633</v>
      </c>
      <c r="C225" s="18" t="s">
        <v>19</v>
      </c>
      <c r="D225" s="18" t="s">
        <v>20</v>
      </c>
      <c r="E225" s="18" t="s">
        <v>27</v>
      </c>
      <c r="F225" s="18" t="s">
        <v>155</v>
      </c>
      <c r="G225" s="18" t="s">
        <v>156</v>
      </c>
      <c r="H225" s="19">
        <v>20260423</v>
      </c>
      <c r="I225" s="15" t="e">
        <f t="shared" si="20"/>
        <v>#N/A</v>
      </c>
      <c r="J225" s="15" t="e">
        <f t="shared" si="21"/>
        <v>#N/A</v>
      </c>
      <c r="K225" s="15"/>
      <c r="L225" s="20" t="e">
        <f t="shared" si="22"/>
        <v>#N/A</v>
      </c>
      <c r="M225" s="21" t="str">
        <f t="shared" si="18"/>
        <v>https://webagentes.canaldirecto.com.ar/incidents/view/830868-9</v>
      </c>
      <c r="N225" s="21" t="str">
        <f t="shared" si="19"/>
        <v>https://webagentes.canaldirecto.com.ar/incidents/view/830868-9</v>
      </c>
      <c r="O225" s="21"/>
      <c r="P225" s="22"/>
    </row>
    <row r="226" spans="1:16" s="23" customFormat="1" ht="21" customHeight="1" thickBot="1" x14ac:dyDescent="0.25">
      <c r="A226" s="16">
        <v>2</v>
      </c>
      <c r="B226" s="17" t="s">
        <v>634</v>
      </c>
      <c r="C226" s="18" t="s">
        <v>19</v>
      </c>
      <c r="D226" s="18" t="s">
        <v>20</v>
      </c>
      <c r="E226" s="18" t="s">
        <v>27</v>
      </c>
      <c r="F226" s="18" t="s">
        <v>155</v>
      </c>
      <c r="G226" s="18" t="s">
        <v>441</v>
      </c>
      <c r="H226" s="19">
        <v>20260423</v>
      </c>
      <c r="I226" s="15" t="str">
        <f t="shared" si="20"/>
        <v>Rawson</v>
      </c>
      <c r="J226" s="15">
        <f t="shared" si="21"/>
        <v>8.8000000000000007</v>
      </c>
      <c r="K226" s="15"/>
      <c r="L226" s="20" t="str">
        <f t="shared" si="22"/>
        <v>https://www.google.com/maps/dir/Catamarca+Sur,+San+Juan/Escuela+Hogar+%22Jos%C3%A9+Manuel+Estrada%22,+J5425+Villa+Krause,+San+Juan/Catamarca+Sur,+San+Juan/@-31.5562638,-68.5472811,4937m/data=!3m2!1e3!4b1!4m20!4m19!1m5!1m1!1s0x968140269756b7e1:0x3c38eb6d66eb45d!2m2!1d-68.5295918!2d-31.5427459!1m5!1m1!1s0x96814000b15bf8d9:0xcb9eae0fd9e699d2!2m2!1d-68.530994!2d-31.5702997!1m5!1m1!1s0x968140269756b7e1:0x3c38eb6d66eb45d!2m2!1d-68.5295918!2d-31.5427459!3e0?hl=es&amp;entry=ttu&amp;g_ep=EgoyMDI1MTAwOC4wIKXMDSoASAFQAw%3D%3D</v>
      </c>
      <c r="M226" s="21" t="str">
        <f t="shared" si="18"/>
        <v>https://webagentes.canaldirecto.com.ar/incidents/view/830867-0</v>
      </c>
      <c r="N226" s="21" t="str">
        <f t="shared" si="19"/>
        <v>https://webagentes.canaldirecto.com.ar/incidents/view/830867-0</v>
      </c>
      <c r="O226" s="21"/>
      <c r="P226" s="22"/>
    </row>
    <row r="227" spans="1:16" s="23" customFormat="1" ht="21" customHeight="1" thickBot="1" x14ac:dyDescent="0.25">
      <c r="A227" s="28">
        <v>1</v>
      </c>
      <c r="B227" s="29" t="s">
        <v>635</v>
      </c>
      <c r="C227" s="18" t="s">
        <v>19</v>
      </c>
      <c r="D227" s="18" t="s">
        <v>36</v>
      </c>
      <c r="E227" s="18" t="s">
        <v>27</v>
      </c>
      <c r="F227" s="18" t="s">
        <v>636</v>
      </c>
      <c r="G227" s="18" t="s">
        <v>637</v>
      </c>
      <c r="H227" s="40">
        <v>20260424</v>
      </c>
      <c r="I227" s="15" t="str">
        <f t="shared" si="20"/>
        <v>25 de Mayo.</v>
      </c>
      <c r="J227" s="15">
        <f t="shared" si="21"/>
        <v>96.1</v>
      </c>
      <c r="K227" s="15"/>
      <c r="L227" s="20" t="str">
        <f t="shared" si="22"/>
        <v>https://www.google.com/maps/dir/Catamarca+Sur+664,+San+Juan/Bartolome+Del+Bono,+San+Juan/Catamarca+Sur+664,+San+Juan/@-31.6818845,-68.5761041,39439m/data=!3m2!1e3!4b1!4m20!4m19!1m5!1m1!1s0x9681402690dd76eb:0x4b283f8fe10ce3f3!2m2!1d-68.5293761!2d-31.5426363!1m5!1m1!1s0x968103060f9848d7:0x45a04d443e384ee!2m2!1d-68.2915943!2d-31.8232407!1m5!1m1!1s0x9681402690dd76eb:0x4b283f8fe10ce3f3!2m2!1d-68.5293761!2d-31.5426363!3e0?entry=ttu&amp;g_ep=EgoyMDI1MDgxMy4wIKXMDSoASAFQAw%3D%3D</v>
      </c>
      <c r="M227" s="21" t="str">
        <f t="shared" si="18"/>
        <v>https://webagentes.canaldirecto.com.ar/incidents/view/831441-3</v>
      </c>
      <c r="N227" s="21" t="str">
        <f t="shared" si="19"/>
        <v>https://webagentes.canaldirecto.com.ar/incidents/view/831441-3</v>
      </c>
      <c r="O227" s="21"/>
      <c r="P227" s="22"/>
    </row>
    <row r="228" spans="1:16" s="23" customFormat="1" ht="21" customHeight="1" thickBot="1" x14ac:dyDescent="0.25">
      <c r="A228" s="16">
        <v>2</v>
      </c>
      <c r="B228" s="17" t="s">
        <v>638</v>
      </c>
      <c r="C228" s="18" t="s">
        <v>19</v>
      </c>
      <c r="D228" s="18" t="s">
        <v>26</v>
      </c>
      <c r="E228" s="18" t="s">
        <v>21</v>
      </c>
      <c r="F228" s="18" t="s">
        <v>22</v>
      </c>
      <c r="G228" s="18" t="s">
        <v>639</v>
      </c>
      <c r="H228" s="40">
        <v>20260424</v>
      </c>
      <c r="I228" s="15" t="e">
        <f t="shared" si="20"/>
        <v>#N/A</v>
      </c>
      <c r="J228" s="15" t="e">
        <f t="shared" si="21"/>
        <v>#N/A</v>
      </c>
      <c r="K228" s="15"/>
      <c r="L228" s="20" t="e">
        <f t="shared" si="22"/>
        <v>#N/A</v>
      </c>
      <c r="M228" s="21" t="str">
        <f t="shared" si="18"/>
        <v>https://webagentes.canaldirecto.com.ar/incidents/view/831433-4</v>
      </c>
      <c r="N228" s="21" t="str">
        <f t="shared" si="19"/>
        <v>https://webagentes.canaldirecto.com.ar/incidents/view/831433-4</v>
      </c>
      <c r="O228" s="21"/>
      <c r="P228" s="22"/>
    </row>
    <row r="229" spans="1:16" s="23" customFormat="1" ht="21" customHeight="1" thickBot="1" x14ac:dyDescent="0.25">
      <c r="A229" s="28">
        <v>1</v>
      </c>
      <c r="B229" s="29" t="s">
        <v>640</v>
      </c>
      <c r="C229" s="18" t="s">
        <v>19</v>
      </c>
      <c r="D229" s="18" t="s">
        <v>36</v>
      </c>
      <c r="E229" s="18" t="s">
        <v>27</v>
      </c>
      <c r="F229" s="18" t="s">
        <v>641</v>
      </c>
      <c r="G229" s="18" t="s">
        <v>642</v>
      </c>
      <c r="H229" s="40">
        <v>20260424</v>
      </c>
      <c r="I229" s="15" t="str">
        <f t="shared" si="20"/>
        <v>25 de Mayo.</v>
      </c>
      <c r="J229" s="15">
        <f t="shared" si="21"/>
        <v>103</v>
      </c>
      <c r="K229" s="15"/>
      <c r="L229" s="20" t="str">
        <f t="shared" si="22"/>
        <v>https://www.google.com/maps/dir/Catamarca+Sur+664,+San+Juan/Escuela+Florencia+Nightingale,+La+Chimbera,+San+Juan/Catamarca+Sur+664,+San+Juan/@-31.6846801,-68.557716,39438m/data=!3m1!1e3!4m20!4m19!1m5!1m1!1s0x9681402690dd76eb:0x4b283f8fe10ce3f3!2m2!1d-68.5293761!2d-31.5426363!1m5!1m1!1s0x9681038bb2ca75e1:0xd6b4ade33c666da2!2m2!1d-68.254643!2d-31.8286405!1m5!1m1!1s0x9681402690dd76eb:0x4b283f8fe10ce3f3!2m2!1d-68.5293761!2d-31.5426363!3e0?entry=ttu&amp;g_ep=EgoyMDI1MDgxMy4wIKXMDSoASAFQAw%3D%3D</v>
      </c>
      <c r="M229" s="21" t="str">
        <f t="shared" si="18"/>
        <v>https://webagentes.canaldirecto.com.ar/incidents/view/831295-6</v>
      </c>
      <c r="N229" s="21" t="str">
        <f t="shared" si="19"/>
        <v>https://webagentes.canaldirecto.com.ar/incidents/view/831295-6</v>
      </c>
      <c r="O229" s="21"/>
      <c r="P229" s="22"/>
    </row>
    <row r="230" spans="1:16" s="23" customFormat="1" ht="21" customHeight="1" thickBot="1" x14ac:dyDescent="0.25">
      <c r="A230" s="28">
        <v>1</v>
      </c>
      <c r="B230" s="29" t="s">
        <v>643</v>
      </c>
      <c r="C230" s="18" t="s">
        <v>19</v>
      </c>
      <c r="D230" s="18" t="s">
        <v>36</v>
      </c>
      <c r="E230" s="18" t="s">
        <v>27</v>
      </c>
      <c r="F230" s="18" t="s">
        <v>644</v>
      </c>
      <c r="G230" s="18" t="s">
        <v>645</v>
      </c>
      <c r="H230" s="40">
        <v>20260424</v>
      </c>
      <c r="I230" s="15">
        <f t="shared" si="20"/>
        <v>45802</v>
      </c>
      <c r="J230" s="15">
        <f t="shared" si="21"/>
        <v>101</v>
      </c>
      <c r="K230" s="15"/>
      <c r="L230" s="20" t="str">
        <f t="shared" si="22"/>
        <v>https://www.google.com/maps/dir/Catamarca+Sur+664,+San+Juan/Escuela+Autonomia+Del+Bono,+San+Juan/Catamarca+Sur+664,+San+Juan/@-31.7008273,-68.5876929,39431m/data=!3m2!1e3!4b1!4m20!4m19!1m5!1m1!1s0x9681402690dd76eb:0x4b283f8fe10ce3f3!2m2!1d-68.5293761!2d-31.5426363!1m5!1m1!1s0x968102b7e5b3cc9d:0xe79904713220da82!2m2!1d-68.3230989!2d-31.8611134!1m5!1m1!1s0x9681402690dd76eb:0x4b283f8fe10ce3f3!2m2!1d-68.5293761!2d-31.5426363!3e0?hl=es&amp;entry=ttu&amp;g_ep=EgoyMDI1MDczMC4wIKXMDSoASAFQAw%3D%3D</v>
      </c>
      <c r="M230" s="21" t="str">
        <f t="shared" si="18"/>
        <v>https://webagentes.canaldirecto.com.ar/incidents/view/831294-7</v>
      </c>
      <c r="N230" s="21" t="str">
        <f t="shared" si="19"/>
        <v>https://webagentes.canaldirecto.com.ar/incidents/view/831294-7</v>
      </c>
      <c r="O230" s="21"/>
      <c r="P230" s="22"/>
    </row>
    <row r="231" spans="1:16" s="23" customFormat="1" ht="21" customHeight="1" thickBot="1" x14ac:dyDescent="0.25">
      <c r="A231" s="28">
        <v>1</v>
      </c>
      <c r="B231" s="29" t="s">
        <v>646</v>
      </c>
      <c r="C231" s="18" t="s">
        <v>19</v>
      </c>
      <c r="D231" s="18" t="s">
        <v>36</v>
      </c>
      <c r="E231" s="18" t="s">
        <v>27</v>
      </c>
      <c r="F231" s="18" t="s">
        <v>647</v>
      </c>
      <c r="G231" s="18" t="s">
        <v>648</v>
      </c>
      <c r="H231" s="40">
        <v>20260424</v>
      </c>
      <c r="I231" s="15" t="str">
        <f t="shared" si="20"/>
        <v>25 de Mayo.</v>
      </c>
      <c r="J231" s="15">
        <f t="shared" si="21"/>
        <v>111</v>
      </c>
      <c r="K231" s="15">
        <v>111</v>
      </c>
      <c r="L231" s="20" t="str">
        <f t="shared" si="22"/>
        <v>https://www.google.com/maps/dir/Catamarca+Sur+664,+San+Juan/Escuela+Juan+Ignacio+Gorriti,+San+Juan/Catamarca+Sur+664,+San+Juan/@-31.6854951,-68.5270013,39437m/data=!3m2!1e3!4b1!4m20!4m19!1m5!1m1!1s0x9681402690dd76eb:0x4b283f8fe10ce3f3!2m2!1d-68.5293761!2d-31.5426363!1m5!1m1!1s0x968101a1ad6df103:0xca680ba030b56b53!2m2!1d-68.2260848!2d-31.8302461!1m5!1m1!1s0x9681402690dd76eb:0x4b283f8fe10ce3f3!2m2!1d-68.5293761!2d-31.5426363!3e0?entry=ttu&amp;g_ep=EgoyMDI1MDgxMy4wIKXMDSoASAFQAw%3D%3D</v>
      </c>
      <c r="M231" s="21" t="str">
        <f t="shared" si="18"/>
        <v>https://webagentes.canaldirecto.com.ar/incidents/view/831293-8</v>
      </c>
      <c r="N231" s="21" t="str">
        <f t="shared" si="19"/>
        <v>https://webagentes.canaldirecto.com.ar/incidents/view/831293-8</v>
      </c>
      <c r="O231" s="21"/>
      <c r="P231" s="22"/>
    </row>
    <row r="232" spans="1:16" s="23" customFormat="1" ht="21" customHeight="1" thickBot="1" x14ac:dyDescent="0.25">
      <c r="A232" s="28">
        <v>1</v>
      </c>
      <c r="B232" s="29" t="s">
        <v>649</v>
      </c>
      <c r="C232" s="18" t="s">
        <v>19</v>
      </c>
      <c r="D232" s="18" t="s">
        <v>36</v>
      </c>
      <c r="E232" s="18" t="s">
        <v>27</v>
      </c>
      <c r="F232" s="18" t="s">
        <v>647</v>
      </c>
      <c r="G232" s="18" t="s">
        <v>650</v>
      </c>
      <c r="H232" s="40">
        <v>20260424</v>
      </c>
      <c r="I232" s="15" t="str">
        <f t="shared" si="20"/>
        <v>25 de Mayo.</v>
      </c>
      <c r="J232" s="15">
        <f t="shared" si="21"/>
        <v>111</v>
      </c>
      <c r="K232" s="15"/>
      <c r="L232" s="20" t="str">
        <f t="shared" si="22"/>
        <v>https://www.google.com/maps/dir/Catamarca+Sur+664,+San+Juan/Escuela+Juan+Ignacio+Gorriti,+San+Juan/Catamarca+Sur+664,+San+Juan/@-31.6854951,-68.5270013,39437m/data=!3m1!1e3!4m20!4m19!1m5!1m1!1s0x9681402690dd76eb:0x4b283f8fe10ce3f3!2m2!1d-68.5293761!2d-31.5426363!1m5!1m1!1s0x968101a1ad6df103:0xca680ba030b56b53!2m2!1d-68.2260848!2d-31.8302461!1m5!1m1!1s0x9681402690dd76eb:0x4b283f8fe10ce3f3!2m2!1d-68.5293761!2d-31.5426363!3e0?entry=ttu&amp;g_ep=EgoyMDI1MDgxMy4wIKXMDSoASAFQAw%3D%3D</v>
      </c>
      <c r="M232" s="21" t="str">
        <f t="shared" si="18"/>
        <v>https://webagentes.canaldirecto.com.ar/incidents/view/831292-9</v>
      </c>
      <c r="N232" s="21" t="str">
        <f t="shared" si="19"/>
        <v>https://webagentes.canaldirecto.com.ar/incidents/view/831292-9</v>
      </c>
      <c r="O232" s="21"/>
      <c r="P232" s="22"/>
    </row>
    <row r="233" spans="1:16" s="23" customFormat="1" ht="21" customHeight="1" thickBot="1" x14ac:dyDescent="0.25">
      <c r="A233" s="28">
        <v>1</v>
      </c>
      <c r="B233" s="29" t="s">
        <v>651</v>
      </c>
      <c r="C233" s="18" t="s">
        <v>19</v>
      </c>
      <c r="D233" s="18" t="s">
        <v>36</v>
      </c>
      <c r="E233" s="18" t="s">
        <v>27</v>
      </c>
      <c r="F233" s="18" t="s">
        <v>652</v>
      </c>
      <c r="G233" s="18" t="s">
        <v>653</v>
      </c>
      <c r="H233" s="40">
        <v>20260424</v>
      </c>
      <c r="I233" s="15" t="str">
        <f t="shared" si="20"/>
        <v>25 de Mayo.</v>
      </c>
      <c r="J233" s="15">
        <f t="shared" si="21"/>
        <v>111</v>
      </c>
      <c r="K233" s="15"/>
      <c r="L233" s="20" t="str">
        <f t="shared" si="22"/>
        <v>https://www.google.com/maps/dir/Catamarca+Sur+664,+San+Juan/Escuela+Juan+Ignacio+Gorriti,+San+Juan/Catamarca+Sur+664,+San+Juan/@-31.6854951,-68.5270013,39437m/data=!3m2!1e3!4b1!4m20!4m19!1m5!1m1!1s0x9681402690dd76eb:0x4b283f8fe10ce3f3!2m2!1d-68.5293761!2d-31.5426363!1m5!1m1!1s0x968101a1ad6df103:0xca680ba030b56b53!2m2!1d-68.2260848!2d-31.8302461!1m5!1m1!1s0x9681402690dd76eb:0x4b283f8fe10ce3f3!2m2!1d-68.5293761!2d-31.5426363!3e0?hl=es&amp;entry=ttu&amp;g_ep=EgoyMDI1MDgxMy4wIKXMDSoASAFQAw%3D%3D</v>
      </c>
      <c r="M233" s="21" t="str">
        <f t="shared" si="18"/>
        <v>https://webagentes.canaldirecto.com.ar/incidents/view/831291-0</v>
      </c>
      <c r="N233" s="21" t="str">
        <f t="shared" si="19"/>
        <v>https://webagentes.canaldirecto.com.ar/incidents/view/831291-0</v>
      </c>
      <c r="O233" s="21"/>
      <c r="P233" s="22"/>
    </row>
    <row r="234" spans="1:16" s="23" customFormat="1" ht="21" customHeight="1" thickBot="1" x14ac:dyDescent="0.25">
      <c r="A234" s="28">
        <v>1</v>
      </c>
      <c r="B234" s="29" t="s">
        <v>654</v>
      </c>
      <c r="C234" s="18" t="s">
        <v>19</v>
      </c>
      <c r="D234" s="18" t="s">
        <v>36</v>
      </c>
      <c r="E234" s="18" t="s">
        <v>27</v>
      </c>
      <c r="F234" s="18" t="s">
        <v>655</v>
      </c>
      <c r="G234" s="18" t="s">
        <v>656</v>
      </c>
      <c r="H234" s="40">
        <v>20260424</v>
      </c>
      <c r="I234" s="15" t="str">
        <f t="shared" si="20"/>
        <v>25 de Mayo.</v>
      </c>
      <c r="J234" s="15">
        <f t="shared" si="21"/>
        <v>103</v>
      </c>
      <c r="K234" s="15"/>
      <c r="L234" s="20" t="str">
        <f t="shared" si="22"/>
        <v>https://www.google.com/maps/dir/Catamarca+Sur+664,+San+Juan/Escuela+Florencia+Nightingale,+La+Chimbera,+San+Juan/Catamarca+Sur+664,+San+Juan/@-31.6846801,-68.557716,39438m/data=!3m2!1e3!4b1!4m20!4m19!1m5!1m1!1s0x9681402690dd76eb:0x4b283f8fe10ce3f3!2m2!1d-68.5293761!2d-31.5426363!1m5!1m1!1s0x9681038bb2ca75e1:0xd6b4ade33c666da2!2m2!1d-68.254643!2d-31.8286405!1m5!1m1!1s0x9681402690dd76eb:0x4b283f8fe10ce3f3!2m2!1d-68.5293761!2d-31.5426363!3e0?entry=ttu&amp;g_ep=EgoyMDI1MDgxMy4wIKXMDSoASAFQAw%3D%3D</v>
      </c>
      <c r="M234" s="21" t="str">
        <f t="shared" si="18"/>
        <v>https://webagentes.canaldirecto.com.ar/incidents/view/831290-1</v>
      </c>
      <c r="N234" s="21" t="str">
        <f t="shared" si="19"/>
        <v>https://webagentes.canaldirecto.com.ar/incidents/view/831290-1</v>
      </c>
      <c r="O234" s="21"/>
      <c r="P234" s="22"/>
    </row>
    <row r="235" spans="1:16" s="23" customFormat="1" ht="21" customHeight="1" thickBot="1" x14ac:dyDescent="0.25">
      <c r="A235" s="24">
        <v>3</v>
      </c>
      <c r="B235" s="25" t="s">
        <v>657</v>
      </c>
      <c r="C235" s="18" t="s">
        <v>19</v>
      </c>
      <c r="D235" s="18" t="s">
        <v>26</v>
      </c>
      <c r="E235" s="18" t="s">
        <v>27</v>
      </c>
      <c r="F235" s="18" t="s">
        <v>658</v>
      </c>
      <c r="G235" s="18" t="s">
        <v>659</v>
      </c>
      <c r="H235" s="40">
        <v>20260424</v>
      </c>
      <c r="I235" s="15" t="e">
        <f t="shared" si="20"/>
        <v>#N/A</v>
      </c>
      <c r="J235" s="15" t="e">
        <f t="shared" si="21"/>
        <v>#N/A</v>
      </c>
      <c r="K235" s="15"/>
      <c r="L235" s="20" t="e">
        <f t="shared" si="22"/>
        <v>#N/A</v>
      </c>
      <c r="M235" s="21" t="str">
        <f t="shared" si="18"/>
        <v>https://webagentes.canaldirecto.com.ar/incidents/view/831269-1</v>
      </c>
      <c r="N235" s="21" t="str">
        <f t="shared" si="19"/>
        <v>https://webagentes.canaldirecto.com.ar/incidents/view/831269-1</v>
      </c>
      <c r="O235" s="21"/>
      <c r="P235" s="22"/>
    </row>
    <row r="236" spans="1:16" s="23" customFormat="1" ht="21" customHeight="1" thickBot="1" x14ac:dyDescent="0.25">
      <c r="A236" s="24">
        <v>3</v>
      </c>
      <c r="B236" s="25" t="s">
        <v>660</v>
      </c>
      <c r="C236" s="18" t="s">
        <v>19</v>
      </c>
      <c r="D236" s="18" t="s">
        <v>26</v>
      </c>
      <c r="E236" s="18" t="s">
        <v>27</v>
      </c>
      <c r="F236" s="18" t="s">
        <v>661</v>
      </c>
      <c r="G236" s="18" t="s">
        <v>662</v>
      </c>
      <c r="H236" s="40">
        <v>20260424</v>
      </c>
      <c r="I236" s="15" t="e">
        <f t="shared" si="20"/>
        <v>#N/A</v>
      </c>
      <c r="J236" s="15" t="e">
        <f t="shared" si="21"/>
        <v>#N/A</v>
      </c>
      <c r="K236" s="15"/>
      <c r="L236" s="20" t="e">
        <f t="shared" si="22"/>
        <v>#N/A</v>
      </c>
      <c r="M236" s="21" t="str">
        <f t="shared" si="18"/>
        <v>https://webagentes.canaldirecto.com.ar/incidents/view/831268-2</v>
      </c>
      <c r="N236" s="21" t="str">
        <f t="shared" si="19"/>
        <v>https://webagentes.canaldirecto.com.ar/incidents/view/831268-2</v>
      </c>
      <c r="O236" s="21"/>
      <c r="P236" s="22"/>
    </row>
    <row r="237" spans="1:16" s="23" customFormat="1" ht="21" customHeight="1" thickBot="1" x14ac:dyDescent="0.25">
      <c r="A237" s="16">
        <v>2</v>
      </c>
      <c r="B237" s="17" t="s">
        <v>663</v>
      </c>
      <c r="C237" s="18" t="s">
        <v>19</v>
      </c>
      <c r="D237" s="18" t="s">
        <v>20</v>
      </c>
      <c r="E237" s="18" t="s">
        <v>27</v>
      </c>
      <c r="F237" s="18" t="s">
        <v>197</v>
      </c>
      <c r="G237" s="18" t="s">
        <v>198</v>
      </c>
      <c r="H237" s="40">
        <v>20260424</v>
      </c>
      <c r="I237" s="15" t="str">
        <f t="shared" si="20"/>
        <v>Albardón</v>
      </c>
      <c r="J237" s="15">
        <f t="shared" si="21"/>
        <v>36.299999999999997</v>
      </c>
      <c r="K237" s="15">
        <v>36.299999999999997</v>
      </c>
      <c r="L237" s="20" t="str">
        <f t="shared" si="22"/>
        <v>https://www.google.com/maps/dir/Catamarca+Sur+664,+San+Juan/Colegio+Gral.+Don+Toribio+de+Luzuriaga,+Nacional,+J5419+Villa+Gral.+San+Martin,+San+Juan/Catamarca+Sur+664,+San+Juan/@-31.4913565,-68.6012244,19760m/data=!3m2!1e3!4b1!4m20!4m19!1m5!1m1!1s0x9681402690dd76eb:0x4b283f8fe10ce3f3!2m2!1d-68.5293761!2d-31.5426363!1m5!1m1!1s0x9681683633706625:0x1ec70dfe06f0b20e!2m2!1d-68.5019143!2d-31.4280533!1m5!1m1!1s0x9681402690dd76eb:0x4b283f8fe10ce3f3!2m2!1d-68.5293761!2d-31.5426363!3e0?hl=es&amp;entry=ttu&amp;g_ep=EgoyMDI1MDgxMy4wIKXMDSoASAFQAw%3D%3D</v>
      </c>
      <c r="M237" s="21" t="str">
        <f t="shared" si="18"/>
        <v>https://webagentes.canaldirecto.com.ar/incidents/view/831224-8</v>
      </c>
      <c r="N237" s="21" t="str">
        <f t="shared" si="19"/>
        <v>https://webagentes.canaldirecto.com.ar/incidents/view/831224-8</v>
      </c>
      <c r="O237" s="21"/>
      <c r="P237" s="22"/>
    </row>
    <row r="238" spans="1:16" s="23" customFormat="1" ht="21" customHeight="1" thickBot="1" x14ac:dyDescent="0.25">
      <c r="A238" s="28">
        <v>1</v>
      </c>
      <c r="B238" s="29" t="s">
        <v>664</v>
      </c>
      <c r="C238" s="18" t="s">
        <v>19</v>
      </c>
      <c r="D238" s="18" t="s">
        <v>20</v>
      </c>
      <c r="E238" s="18" t="s">
        <v>27</v>
      </c>
      <c r="F238" s="18" t="s">
        <v>665</v>
      </c>
      <c r="G238" s="18" t="s">
        <v>666</v>
      </c>
      <c r="H238" s="40">
        <v>20260424</v>
      </c>
      <c r="I238" s="15" t="str">
        <f t="shared" si="20"/>
        <v>Caucete</v>
      </c>
      <c r="J238" s="15">
        <f t="shared" si="21"/>
        <v>58.1</v>
      </c>
      <c r="K238" s="15">
        <v>58.1</v>
      </c>
      <c r="L238" s="20" t="str">
        <f t="shared" si="22"/>
        <v>https://www.google.com/maps/dir/Catamarca+Sur+664,+San+Juan/UGDA+Caucete,+5442,+Caucete,+San+Juan/Catamarca+Sur+664,+San+Juan/@-31.5943467,-68.4912887,19738m/data=!3m2!1e3!4b1!4m20!4m19!1m5!1m1!1s0x9681402690dd76eb:0x4b283f8fe10ce3f3!2m2!1d-68.5293761!2d-31.5426363!1m5!1m1!1s0x96810f6517119d87:0x9e04710776c19c6b!2m2!1d-68.2889276!2d-31.647192!1m5!1m1!1s0x9681402690dd76eb:0x4b283f8fe10ce3f3!2m2!1d-68.5293761!2d-31.5426363!3e0?entry=ttu&amp;g_ep=EgoyMDI1MDgxMy4wIKXMDSoASAFQAw%3D%3D</v>
      </c>
      <c r="M238" s="21" t="str">
        <f t="shared" si="18"/>
        <v>https://webagentes.canaldirecto.com.ar/incidents/view/831094-9</v>
      </c>
      <c r="N238" s="21" t="str">
        <f t="shared" si="19"/>
        <v>https://webagentes.canaldirecto.com.ar/incidents/view/831094-9</v>
      </c>
      <c r="O238" s="21"/>
      <c r="P238" s="22"/>
    </row>
    <row r="239" spans="1:16" s="23" customFormat="1" ht="21" customHeight="1" thickBot="1" x14ac:dyDescent="0.25">
      <c r="A239" s="28">
        <v>1</v>
      </c>
      <c r="B239" s="29" t="s">
        <v>667</v>
      </c>
      <c r="C239" s="18" t="s">
        <v>19</v>
      </c>
      <c r="D239" s="18" t="s">
        <v>20</v>
      </c>
      <c r="E239" s="18" t="s">
        <v>27</v>
      </c>
      <c r="F239" s="18" t="s">
        <v>665</v>
      </c>
      <c r="G239" s="18" t="s">
        <v>668</v>
      </c>
      <c r="H239" s="40">
        <v>20260424</v>
      </c>
      <c r="I239" s="15" t="e">
        <f t="shared" si="20"/>
        <v>#N/A</v>
      </c>
      <c r="J239" s="15" t="e">
        <f t="shared" si="21"/>
        <v>#N/A</v>
      </c>
      <c r="K239" s="15"/>
      <c r="L239" s="20" t="e">
        <f t="shared" si="22"/>
        <v>#N/A</v>
      </c>
      <c r="M239" s="21" t="str">
        <f t="shared" si="18"/>
        <v>https://webagentes.canaldirecto.com.ar/incidents/view/831093-0</v>
      </c>
      <c r="N239" s="21" t="str">
        <f t="shared" si="19"/>
        <v>https://webagentes.canaldirecto.com.ar/incidents/view/831093-0</v>
      </c>
      <c r="O239" s="21"/>
      <c r="P239" s="22"/>
    </row>
    <row r="240" spans="1:16" s="23" customFormat="1" ht="21" customHeight="1" thickBot="1" x14ac:dyDescent="0.25">
      <c r="A240" s="16">
        <v>2</v>
      </c>
      <c r="B240" s="17" t="s">
        <v>669</v>
      </c>
      <c r="C240" s="18" t="s">
        <v>19</v>
      </c>
      <c r="D240" s="18" t="s">
        <v>26</v>
      </c>
      <c r="E240" s="18" t="s">
        <v>21</v>
      </c>
      <c r="F240" s="18" t="s">
        <v>22</v>
      </c>
      <c r="G240" s="18" t="s">
        <v>670</v>
      </c>
      <c r="H240" s="40">
        <v>20260424</v>
      </c>
      <c r="I240" s="15" t="e">
        <f t="shared" si="20"/>
        <v>#N/A</v>
      </c>
      <c r="J240" s="15" t="e">
        <f t="shared" si="21"/>
        <v>#N/A</v>
      </c>
      <c r="K240" s="15"/>
      <c r="L240" s="20" t="e">
        <f t="shared" si="22"/>
        <v>#N/A</v>
      </c>
      <c r="M240" s="21" t="str">
        <f t="shared" si="18"/>
        <v>https://webagentes.canaldirecto.com.ar/incidents/view/831005-5</v>
      </c>
      <c r="N240" s="21" t="str">
        <f t="shared" si="19"/>
        <v>https://webagentes.canaldirecto.com.ar/incidents/view/831005-5</v>
      </c>
      <c r="O240" s="21"/>
      <c r="P240" s="22"/>
    </row>
    <row r="241" spans="1:16" s="23" customFormat="1" ht="21" customHeight="1" thickBot="1" x14ac:dyDescent="0.25">
      <c r="A241" s="28">
        <v>1</v>
      </c>
      <c r="B241" s="29" t="s">
        <v>671</v>
      </c>
      <c r="C241" s="18" t="s">
        <v>19</v>
      </c>
      <c r="D241" s="18" t="s">
        <v>20</v>
      </c>
      <c r="E241" s="18" t="s">
        <v>27</v>
      </c>
      <c r="F241" s="18" t="s">
        <v>672</v>
      </c>
      <c r="G241" s="18" t="s">
        <v>673</v>
      </c>
      <c r="H241" s="40">
        <v>20260424</v>
      </c>
      <c r="I241" s="15">
        <f t="shared" si="20"/>
        <v>45802</v>
      </c>
      <c r="J241" s="15">
        <f t="shared" si="21"/>
        <v>73.5</v>
      </c>
      <c r="K241" s="15"/>
      <c r="L241" s="20" t="str">
        <f t="shared" si="22"/>
        <v>https://www.google.com/maps/dir/Catamarca+Sur+664,+San+Juan/Escuela+Provincia+de+San+Juan,+25+de+Mayo+y+Mitre+S%2FN,+Villa+Santa+Rosa,+Dpto,+San+Juan/Catamarca+Sur+664,+San+Juan/@-31.6438039,-68.584671,39455m/data=!3m2!1e3!4b1!4m20!4m19!1m5!1m1!1s0x9681402690dd76eb:0x4b283f8fe10ce3f3!2m2!1d-68.5293761!2d-31.5426363!1m5!1m1!1s0x96810596e695f093:0x4bee11bf244e827f!2m2!1d-68.3143901!2d-31.7470534!1m5!1m1!1s0x9681402690dd76eb:0x4b283f8fe10ce3f3!2m2!1d-68.5293761!2d-31.5426363!3e0?hl=es&amp;entry=ttu&amp;g_ep=EgoyMDI1MDczMC4wIKXMDSoASAFQAw%3D%3D</v>
      </c>
      <c r="M241" s="21" t="str">
        <f t="shared" si="18"/>
        <v>https://webagentes.canaldirecto.com.ar/incidents/view/831000-0</v>
      </c>
      <c r="N241" s="21" t="str">
        <f t="shared" si="19"/>
        <v>https://webagentes.canaldirecto.com.ar/incidents/view/831000-0</v>
      </c>
      <c r="O241" s="21"/>
      <c r="P241" s="22"/>
    </row>
    <row r="242" spans="1:16" s="23" customFormat="1" ht="21" customHeight="1" thickBot="1" x14ac:dyDescent="0.25">
      <c r="A242" s="24">
        <v>3</v>
      </c>
      <c r="B242" s="25" t="s">
        <v>674</v>
      </c>
      <c r="C242" s="18" t="s">
        <v>19</v>
      </c>
      <c r="D242" s="18" t="s">
        <v>20</v>
      </c>
      <c r="E242" s="18" t="s">
        <v>27</v>
      </c>
      <c r="F242" s="18" t="s">
        <v>675</v>
      </c>
      <c r="G242" s="18" t="s">
        <v>676</v>
      </c>
      <c r="H242" s="40">
        <v>20260424</v>
      </c>
      <c r="I242" s="15" t="e">
        <f t="shared" si="20"/>
        <v>#N/A</v>
      </c>
      <c r="J242" s="15" t="e">
        <f t="shared" si="21"/>
        <v>#N/A</v>
      </c>
      <c r="K242" s="15"/>
      <c r="L242" s="20" t="e">
        <f t="shared" si="22"/>
        <v>#N/A</v>
      </c>
      <c r="M242" s="21" t="str">
        <f t="shared" si="18"/>
        <v>https://webagentes.canaldirecto.com.ar/incidents/view/830996-1</v>
      </c>
      <c r="N242" s="21" t="str">
        <f t="shared" si="19"/>
        <v>https://webagentes.canaldirecto.com.ar/incidents/view/830996-1</v>
      </c>
      <c r="O242" s="21"/>
      <c r="P242" s="22"/>
    </row>
    <row r="243" spans="1:16" s="23" customFormat="1" ht="21" customHeight="1" thickBot="1" x14ac:dyDescent="0.25">
      <c r="A243" s="24">
        <v>3</v>
      </c>
      <c r="B243" s="25" t="s">
        <v>677</v>
      </c>
      <c r="C243" s="18" t="s">
        <v>19</v>
      </c>
      <c r="D243" s="18" t="s">
        <v>20</v>
      </c>
      <c r="E243" s="18" t="s">
        <v>27</v>
      </c>
      <c r="F243" s="18" t="s">
        <v>43</v>
      </c>
      <c r="G243" s="18" t="s">
        <v>44</v>
      </c>
      <c r="H243" s="40">
        <v>20260424</v>
      </c>
      <c r="I243" s="15" t="str">
        <f t="shared" si="20"/>
        <v>Capital</v>
      </c>
      <c r="J243" s="15">
        <f t="shared" si="21"/>
        <v>11.8</v>
      </c>
      <c r="K243" s="15"/>
      <c r="L243" s="20" t="str">
        <f t="shared" si="22"/>
        <v>https://www.google.com/maps/dir/Catamarca+Sur+664,+San+Juan/Escuela+Primaria+%22Mar%C3%ADa+Luisa+Villarino+de+Del+Carril%22,+Sgto.+Cabral+Oeste+1722,+J5400+San+Juan/Catamarca+Sur+664,+San+Juan/@-31.5374355,-68.5642218,4938m/data=!3m2!1e3!4b1!4m20!4m19!1m5!1m1!1s0x9681402690dd76eb:0x4b283f8fe10ce3f3!2m2!1d-68.5293761!2d-31.5426363!1m5!1m1!1s0x968141ba3dc83c0b:0x748a603839a43cee!2m2!1d-68.5556233!2d-31.5202168!1m5!1m1!1s0x9681402690dd76eb:0x4b283f8fe10ce3f3!2m2!1d-68.5293761!2d-31.5426363!3e0?entry=ttu&amp;g_ep=EgoyMDI1MDgxMy4wIKXMDSoASAFQAw%3D%3D</v>
      </c>
      <c r="M243" s="21" t="str">
        <f t="shared" si="18"/>
        <v>https://webagentes.canaldirecto.com.ar/incidents/view/830873-1</v>
      </c>
      <c r="N243" s="21" t="str">
        <f t="shared" si="19"/>
        <v>https://webagentes.canaldirecto.com.ar/incidents/view/830873-1</v>
      </c>
      <c r="O243" s="21"/>
      <c r="P243" s="22"/>
    </row>
    <row r="244" spans="1:16" s="23" customFormat="1" ht="21" customHeight="1" thickBot="1" x14ac:dyDescent="0.25">
      <c r="A244" s="28">
        <v>1</v>
      </c>
      <c r="B244" s="29" t="s">
        <v>678</v>
      </c>
      <c r="C244" s="18" t="s">
        <v>19</v>
      </c>
      <c r="D244" s="18" t="s">
        <v>20</v>
      </c>
      <c r="E244" s="18" t="s">
        <v>27</v>
      </c>
      <c r="F244" s="18" t="s">
        <v>679</v>
      </c>
      <c r="G244" s="18" t="s">
        <v>680</v>
      </c>
      <c r="H244" s="40">
        <v>20260424</v>
      </c>
      <c r="I244" s="15" t="str">
        <f t="shared" si="20"/>
        <v>25 de Mayo.</v>
      </c>
      <c r="J244" s="15">
        <f t="shared" si="21"/>
        <v>69.3</v>
      </c>
      <c r="K244" s="15"/>
      <c r="L244" s="20" t="str">
        <f t="shared" si="22"/>
        <v>https://www.google.com/maps/dir/Catamarca+Sur+664,+San+Juan/Escuela+Ramon+Barrera,+Calle+2,+San+Juan/Catamarca+Sur+664,+San+Juan/@-31.6346789,-68.5880256,39459m/data=!3m2!1e3!4b1!4m20!4m19!1m5!1m1!1s0x9681402690dd76eb:0x4b283f8fe10ce3f3!2m2!1d-68.5293761!2d-31.5426363!1m5!1m1!1s0x968105cdde872ae7:0x2c9ab9898678e3fc!2m2!1d-68.3152639!2d-31.7238029!1m5!1m1!1s0x9681402690dd76eb:0x4b283f8fe10ce3f3!2m2!1d-68.5293761!2d-31.5426363!3e0?entry=ttu&amp;g_ep=EgoyMDI1MDgxMy4wIKXMDSoASAFQAw%3D%3D</v>
      </c>
      <c r="M244" s="21" t="str">
        <f t="shared" si="18"/>
        <v>https://webagentes.canaldirecto.com.ar/incidents/view/830764-4</v>
      </c>
      <c r="N244" s="21" t="str">
        <f t="shared" si="19"/>
        <v>https://webagentes.canaldirecto.com.ar/incidents/view/830764-4</v>
      </c>
      <c r="O244" s="21"/>
      <c r="P244" s="22"/>
    </row>
    <row r="245" spans="1:16" s="23" customFormat="1" ht="21" customHeight="1" thickBot="1" x14ac:dyDescent="0.25">
      <c r="A245" s="24">
        <v>3</v>
      </c>
      <c r="B245" s="25" t="s">
        <v>681</v>
      </c>
      <c r="C245" s="18" t="s">
        <v>19</v>
      </c>
      <c r="D245" s="18" t="s">
        <v>20</v>
      </c>
      <c r="E245" s="18" t="s">
        <v>27</v>
      </c>
      <c r="F245" s="18" t="s">
        <v>229</v>
      </c>
      <c r="G245" s="18" t="s">
        <v>230</v>
      </c>
      <c r="H245" s="40">
        <v>20260424</v>
      </c>
      <c r="I245" s="15" t="str">
        <f t="shared" si="20"/>
        <v>Capital</v>
      </c>
      <c r="J245" s="15">
        <f t="shared" si="21"/>
        <v>3.1</v>
      </c>
      <c r="K245" s="15"/>
      <c r="L245" s="20" t="str">
        <f t="shared" si="22"/>
        <v>https://www.google.com/maps/dir/Catamarca+Sur+664,+San+Juan/Escuela+Provincia+de+Buenos+Aires,+Gral.+Jos%C3%A9+Mar%C3%ADa+Paz+Oeste+1046,+J5402+AJT,+San+Juan/Catamarca+Sur+664,+San+Juan/@-31.5426308,-68.5406426,1234m/data=!3m2!1e3!4b1!4m20!4m19!1m5!1m1!1s0x9681402690dd76eb:0x4b283f8fe10ce3f3!2m2!1d-68.5293761!2d-31.5426363!1m5!1m1!1s0x96814104b2025bf3:0xdeac2654aa5cfbea!2m2!1d-68.5405544!2d-31.5428716!1m5!1m1!1s0x9681402690dd76eb:0x4b283f8fe10ce3f3!2m2!1d-68.5293761!2d-31.5426363!3e0?entry=ttu&amp;g_ep=EgoyMDI1MDgxMy4wIKXMDSoASAFQAw%3D%3D</v>
      </c>
      <c r="M245" s="21" t="str">
        <f t="shared" si="18"/>
        <v>https://webagentes.canaldirecto.com.ar/incidents/view/830744-0</v>
      </c>
      <c r="N245" s="21" t="str">
        <f t="shared" si="19"/>
        <v>https://webagentes.canaldirecto.com.ar/incidents/view/830744-0</v>
      </c>
      <c r="O245" s="21"/>
      <c r="P245" s="22"/>
    </row>
    <row r="246" spans="1:16" s="23" customFormat="1" ht="21" customHeight="1" thickBot="1" x14ac:dyDescent="0.25">
      <c r="A246" s="24">
        <v>3</v>
      </c>
      <c r="B246" s="25" t="s">
        <v>682</v>
      </c>
      <c r="C246" s="18" t="s">
        <v>19</v>
      </c>
      <c r="D246" s="18" t="s">
        <v>20</v>
      </c>
      <c r="E246" s="18" t="s">
        <v>27</v>
      </c>
      <c r="F246" s="18" t="s">
        <v>311</v>
      </c>
      <c r="G246" s="18" t="s">
        <v>312</v>
      </c>
      <c r="H246" s="40">
        <v>20260424</v>
      </c>
      <c r="I246" s="15" t="str">
        <f t="shared" si="20"/>
        <v>Capital</v>
      </c>
      <c r="J246" s="15">
        <f t="shared" si="21"/>
        <v>6</v>
      </c>
      <c r="K246" s="15"/>
      <c r="L246" s="20" t="str">
        <f t="shared" si="22"/>
        <v>https://www.google.com/maps/dir/Catamarca+Sur+664,+San+Juan/Colegio+Provincial+De+La+Capital,+y,+Av.+Espa%C3%B1a+Sur,+J5402+San+Juan/@-31.5480585,-68.5389348,2468m/data=!3m2!1e3!4b1!4m14!4m13!1m5!1m1!1s0x9681402690dd76eb:0x4b283f8fe10ce3f3!2m2!1d-68.5293761!2d-31.5426363!1m5!1m1!1s0x96814018f0243eaf:0x8153012404ea9305!2m2!1d-68.5327243!2d-31.5524219!3e0?entry=ttu&amp;g_ep=EgoyMDI1MDYyOS4wIKXMDSoASAFQAw%3D%3D</v>
      </c>
      <c r="M246" s="21" t="str">
        <f t="shared" si="18"/>
        <v>https://webagentes.canaldirecto.com.ar/incidents/view/830667-2</v>
      </c>
      <c r="N246" s="21" t="str">
        <f t="shared" si="19"/>
        <v>https://webagentes.canaldirecto.com.ar/incidents/view/830667-2</v>
      </c>
      <c r="O246" s="21"/>
      <c r="P246" s="22"/>
    </row>
    <row r="247" spans="1:16" s="23" customFormat="1" ht="21" customHeight="1" thickBot="1" x14ac:dyDescent="0.25">
      <c r="A247" s="16">
        <v>2</v>
      </c>
      <c r="B247" s="17" t="s">
        <v>683</v>
      </c>
      <c r="C247" s="18" t="s">
        <v>19</v>
      </c>
      <c r="D247" s="18" t="s">
        <v>36</v>
      </c>
      <c r="E247" s="18" t="s">
        <v>27</v>
      </c>
      <c r="F247" s="18" t="s">
        <v>684</v>
      </c>
      <c r="G247" s="18" t="s">
        <v>685</v>
      </c>
      <c r="H247" s="41">
        <v>20260427</v>
      </c>
      <c r="I247" s="15" t="str">
        <f t="shared" si="20"/>
        <v>Albardón</v>
      </c>
      <c r="J247" s="15">
        <f t="shared" si="21"/>
        <v>49.5</v>
      </c>
      <c r="K247" s="15">
        <v>49.5</v>
      </c>
      <c r="L247" s="20" t="str">
        <f t="shared" si="22"/>
        <v>https://www.google.com/maps/dir/Catamarca+Sur+664,+San+Juan/Escuela+Ej%C3%A9rcito+De+Los+Andes,+Albard%C3%B3n,+San+Juan/Catamarca+Sur+664,+San+Juan/@-31.4661766,-68.670234,39530m/data=!3m2!1e3!4b1!4m20!4m19!1m5!1m1!1s0x9681402690dd76eb:0x4b283f8fe10ce3f3!2m2!1d-68.5293761!2d-31.5426363!1m5!1m1!1s0x9681662d6af9331b:0x1f50999124eb07f5!2m2!1d-68.4753197!2d-31.378149!1m5!1m1!1s0x9681402690dd76eb:0x4b283f8fe10ce3f3!2m2!1d-68.5293761!2d-31.5426363!3e0?hl=es&amp;entry=ttu&amp;g_ep=EgoyMDI1MDczMC4wIKXMDSoASAFQAw%3D%3D</v>
      </c>
      <c r="M247" s="21" t="str">
        <f t="shared" si="18"/>
        <v>https://webagentes.canaldirecto.com.ar/incidents/view/831499-0</v>
      </c>
      <c r="N247" s="21" t="str">
        <f t="shared" si="19"/>
        <v>https://webagentes.canaldirecto.com.ar/incidents/view/831499-0</v>
      </c>
      <c r="O247" s="21"/>
      <c r="P247" s="22"/>
    </row>
    <row r="248" spans="1:16" s="23" customFormat="1" ht="21" customHeight="1" thickBot="1" x14ac:dyDescent="0.25">
      <c r="A248" s="16">
        <v>2</v>
      </c>
      <c r="B248" s="17" t="s">
        <v>686</v>
      </c>
      <c r="C248" s="18" t="s">
        <v>19</v>
      </c>
      <c r="D248" s="18" t="s">
        <v>36</v>
      </c>
      <c r="E248" s="18" t="s">
        <v>27</v>
      </c>
      <c r="F248" s="18" t="s">
        <v>687</v>
      </c>
      <c r="G248" s="18" t="s">
        <v>688</v>
      </c>
      <c r="H248" s="41">
        <v>20260427</v>
      </c>
      <c r="I248" s="15" t="str">
        <f t="shared" si="20"/>
        <v>ALBARDON</v>
      </c>
      <c r="J248" s="15">
        <f t="shared" si="21"/>
        <v>41.2</v>
      </c>
      <c r="K248" s="15"/>
      <c r="L248" s="20" t="str">
        <f t="shared" si="22"/>
        <v>google.com/maps/dir/Catamarca+Sur+664,+San+Juan/Escuela+Regimientos+De+Los+Patricios,+Albardón,+San+Juan/Catamarca+Sur+664,+San+Juan/@-31.4680497,-68.5920375,19765m/data=!3m1!1e3!4m20!4m19!1m5!1m1!1s0x9681402690dd76eb:0x4b283f8fe10ce3f3!2m2!1d-68.5293623!2d-31.542635!1m5!1m1!1s0x9681687973275677:0x9f661bba693f96d9!2m2!1d-68.4853214!2d-31.3936555!1m5!1m1!1s0x9681402690dd76eb:0x4b283f8fe10ce3f3!2m2!1d-68.5293623!2d-31.542635!3e0?hl=es&amp;entry=ttu&amp;g_ep=EgoyMDI1MTAyOS4yIKXMDSoASAFQAw%3D%3D</v>
      </c>
      <c r="M248" s="21" t="str">
        <f t="shared" si="18"/>
        <v>https://webagentes.canaldirecto.com.ar/incidents/view/831498-1</v>
      </c>
      <c r="N248" s="21" t="str">
        <f t="shared" si="19"/>
        <v>https://webagentes.canaldirecto.com.ar/incidents/view/831498-1</v>
      </c>
      <c r="O248" s="21"/>
      <c r="P248" s="22"/>
    </row>
    <row r="249" spans="1:16" s="23" customFormat="1" ht="21" customHeight="1" thickBot="1" x14ac:dyDescent="0.25">
      <c r="A249" s="16">
        <v>2</v>
      </c>
      <c r="B249" s="17" t="s">
        <v>689</v>
      </c>
      <c r="C249" s="18" t="s">
        <v>19</v>
      </c>
      <c r="D249" s="18" t="s">
        <v>36</v>
      </c>
      <c r="E249" s="18" t="s">
        <v>27</v>
      </c>
      <c r="F249" s="18" t="s">
        <v>687</v>
      </c>
      <c r="G249" s="18" t="s">
        <v>690</v>
      </c>
      <c r="H249" s="41">
        <v>20260427</v>
      </c>
      <c r="I249" s="15" t="str">
        <f t="shared" si="20"/>
        <v>ALBARDON</v>
      </c>
      <c r="J249" s="15">
        <f t="shared" si="21"/>
        <v>45.5</v>
      </c>
      <c r="K249" s="15"/>
      <c r="L249" s="20" t="str">
        <f t="shared" si="22"/>
        <v>https://www.google.com/maps/dir/Catamarca+Sur+664,+San+Juan/Escuela+Regimientos+De+Los+Patricios,+Albard%C3%B3n,+San+Juan/Catamarca+Sur+664,+San+Juan/@-31.4741571,-68.5929403,19763m/data=!3m2!1e3!4b1!4m20!4m19!1m5!1m1!1s0x9681402690dd76eb:0x4b283f8fe10ce3f3!2m2!1d-68.5293761!2d-31.5426363!1m5!1m1!1s0x9681687973275677:0x9f661bba693f96d9!2m2!1d-68.4853214!2d-31.3936555!1m5!1m1!1s0x9681402690dd76eb:0x4b283f8fe10ce3f3!2m2!1d-68.5293761!2d-31.5426363!3e0?entry=ttu&amp;g_ep=EgoyMDI1MDgxMy4wIKXMDSoASAFQAw%3D%3D</v>
      </c>
      <c r="M249" s="21" t="str">
        <f t="shared" si="18"/>
        <v>https://webagentes.canaldirecto.com.ar/incidents/view/831497-2</v>
      </c>
      <c r="N249" s="21" t="str">
        <f t="shared" si="19"/>
        <v>https://webagentes.canaldirecto.com.ar/incidents/view/831497-2</v>
      </c>
      <c r="O249" s="21"/>
      <c r="P249" s="22"/>
    </row>
    <row r="250" spans="1:16" s="23" customFormat="1" ht="21" customHeight="1" thickBot="1" x14ac:dyDescent="0.25">
      <c r="A250" s="16">
        <v>2</v>
      </c>
      <c r="B250" s="17" t="s">
        <v>691</v>
      </c>
      <c r="C250" s="18" t="s">
        <v>19</v>
      </c>
      <c r="D250" s="18" t="s">
        <v>36</v>
      </c>
      <c r="E250" s="18" t="s">
        <v>27</v>
      </c>
      <c r="F250" s="18" t="s">
        <v>692</v>
      </c>
      <c r="G250" s="18" t="s">
        <v>693</v>
      </c>
      <c r="H250" s="41">
        <v>20260427</v>
      </c>
      <c r="I250" s="15" t="str">
        <f t="shared" si="20"/>
        <v>Albardón</v>
      </c>
      <c r="J250" s="15">
        <f t="shared" si="21"/>
        <v>40.4</v>
      </c>
      <c r="K250" s="15"/>
      <c r="L250" s="20" t="str">
        <f t="shared" si="22"/>
        <v>https://www.google.com/maps/dir/Catamarca+Sur+664,+San+Juan/Escuela+Vicente+Lopez+y+Planes,+La+Laja+2523,+J5419+Albard%C3%B3n,+San+Juan/Catamarca+Sur+664,+San+Juan/@-31.4847148,-68.5966544,19761m/data=!3m2!1e3!4b1!4m20!4m19!1m5!1m1!1s0x9681402690dd76eb:0x4b283f8fe10ce3f3!2m2!1d-68.5293761!2d-31.5426363!1m5!1m1!1s0x968168424dbd94a1:0x9d22a4e66bd556ac!2m2!1d-68.4927497!2d-31.4147996!1m5!1m1!1s0x9681402690dd76eb:0x4b283f8fe10ce3f3!2m2!1d-68.5293761!2d-31.5426363!3e0?entry=ttu&amp;g_ep=EgoyMDI1MDgxMy4wIKXMDSoASAFQAw%3D%3D</v>
      </c>
      <c r="M250" s="21" t="str">
        <f t="shared" si="18"/>
        <v>https://webagentes.canaldirecto.com.ar/incidents/view/831496-3</v>
      </c>
      <c r="N250" s="21" t="str">
        <f t="shared" si="19"/>
        <v>https://webagentes.canaldirecto.com.ar/incidents/view/831496-3</v>
      </c>
      <c r="O250" s="21"/>
      <c r="P250" s="22"/>
    </row>
    <row r="251" spans="1:16" s="23" customFormat="1" ht="21" customHeight="1" thickBot="1" x14ac:dyDescent="0.25">
      <c r="A251" s="16">
        <v>2</v>
      </c>
      <c r="B251" s="17" t="s">
        <v>694</v>
      </c>
      <c r="C251" s="18" t="s">
        <v>19</v>
      </c>
      <c r="D251" s="18" t="s">
        <v>36</v>
      </c>
      <c r="E251" s="18" t="s">
        <v>27</v>
      </c>
      <c r="F251" s="18" t="s">
        <v>695</v>
      </c>
      <c r="G251" s="18" t="s">
        <v>696</v>
      </c>
      <c r="H251" s="41">
        <v>20260427</v>
      </c>
      <c r="I251" s="15" t="str">
        <f t="shared" si="20"/>
        <v>Albardón</v>
      </c>
      <c r="J251" s="15">
        <f t="shared" si="21"/>
        <v>40.4</v>
      </c>
      <c r="K251" s="15"/>
      <c r="L251" s="20" t="str">
        <f t="shared" si="22"/>
        <v>https://www.google.com/maps/dir/Catamarca+Sur+664,+San+Juan/Escuela+Vicente+Lopez+y+Planes,+La+Laja+2523,+J5419+Albard%C3%B3n,+San+Juan/Catamarca+Sur+664,+San+Juan/@-31.4847148,-68.5966544,19761m/data=!3m2!1e3!4b1!4m20!4m19!1m5!1m1!1s0x9681402690dd76eb:0x4b283f8fe10ce3f3!2m2!1d-68.5293761!2d-31.5426363!1m5!1m1!1s0x968168424dbd94a1:0x9d22a4e66bd556ac!2m2!1d-68.4927497!2d-31.4147996!1m5!1m1!1s0x9681402690dd76eb:0x4b283f8fe10ce3f3!2m2!1d-68.5293761!2d-31.5426363!3e0?entry=ttu&amp;g_ep=EgoyMDI1MDgxMy4wIKXMDSoASAFQAw%3D%3D</v>
      </c>
      <c r="M251" s="21" t="str">
        <f t="shared" si="18"/>
        <v>https://webagentes.canaldirecto.com.ar/incidents/view/831495-4</v>
      </c>
      <c r="N251" s="21" t="str">
        <f t="shared" si="19"/>
        <v>https://webagentes.canaldirecto.com.ar/incidents/view/831495-4</v>
      </c>
      <c r="O251" s="21"/>
      <c r="P251" s="22"/>
    </row>
    <row r="252" spans="1:16" s="23" customFormat="1" ht="21" customHeight="1" thickBot="1" x14ac:dyDescent="0.25">
      <c r="A252" s="16">
        <v>2</v>
      </c>
      <c r="B252" s="17" t="s">
        <v>697</v>
      </c>
      <c r="C252" s="18" t="s">
        <v>19</v>
      </c>
      <c r="D252" s="18" t="s">
        <v>36</v>
      </c>
      <c r="E252" s="18" t="s">
        <v>27</v>
      </c>
      <c r="F252" s="18" t="s">
        <v>698</v>
      </c>
      <c r="G252" s="18" t="s">
        <v>699</v>
      </c>
      <c r="H252" s="41">
        <v>20260427</v>
      </c>
      <c r="I252" s="15" t="str">
        <f t="shared" si="20"/>
        <v>Albardón</v>
      </c>
      <c r="J252" s="15">
        <f t="shared" si="21"/>
        <v>38.700000000000003</v>
      </c>
      <c r="K252" s="15"/>
      <c r="L252" s="20" t="str">
        <f t="shared" si="22"/>
        <v>https://www.google.com/maps/dir/Catamarca+Sur+664,+San+Juan/Escuela+Jose+Maria+Paz,+Calle+Gral.+Acha,+San+Juan/Catamarca+Sur+664,+San+Juan/@-31.4982485,-68.5873611,19758m/data=!3m2!1e3!4b1!4m20!4m19!1m5!1m1!1s0x9681402690dd76eb:0x4b283f8fe10ce3f3!2m2!1d-68.5293761!2d-31.5426363!1m5!1m1!1s0x9681690aa551bcd9:0x607e4b3f0b77ad7d!2m2!1d-68.4745843!2d-31.4442539!1m5!1m1!1s0x9681402690dd76eb:0x4b283f8fe10ce3f3!2m2!1d-68.5293761!2d-31.5426363!3e0?entry=ttu&amp;g_ep=EgoyMDI1MDgxMy4wIKXMDSoASAFQAw%3D%3D</v>
      </c>
      <c r="M252" s="21" t="str">
        <f t="shared" si="18"/>
        <v>https://webagentes.canaldirecto.com.ar/incidents/view/831494-5</v>
      </c>
      <c r="N252" s="21" t="str">
        <f t="shared" si="19"/>
        <v>https://webagentes.canaldirecto.com.ar/incidents/view/831494-5</v>
      </c>
      <c r="O252" s="21"/>
      <c r="P252" s="22"/>
    </row>
    <row r="253" spans="1:16" s="23" customFormat="1" ht="21" customHeight="1" thickBot="1" x14ac:dyDescent="0.25">
      <c r="A253" s="16">
        <v>2</v>
      </c>
      <c r="B253" s="17" t="s">
        <v>700</v>
      </c>
      <c r="C253" s="18" t="s">
        <v>19</v>
      </c>
      <c r="D253" s="18" t="s">
        <v>36</v>
      </c>
      <c r="E253" s="18" t="s">
        <v>27</v>
      </c>
      <c r="F253" s="18" t="s">
        <v>701</v>
      </c>
      <c r="G253" s="18" t="s">
        <v>702</v>
      </c>
      <c r="H253" s="41">
        <v>20260427</v>
      </c>
      <c r="I253" s="15" t="str">
        <f t="shared" si="20"/>
        <v>Albardon</v>
      </c>
      <c r="J253" s="15">
        <f t="shared" si="21"/>
        <v>32</v>
      </c>
      <c r="K253" s="15"/>
      <c r="L253" s="20" t="str">
        <f t="shared" si="22"/>
        <v>https://www.google.com/maps/dir/Catamarca+Sur+664,+San+Juan/E.N.I.+N%C2%B0+19+%22Tanitani%22,+J5419+Villa+Gral.+San+Martin,+San+Juan/Catamarca+Sur+664,+San+Juan/@-31.4959968,-68.601825,19759m/data=!3m2!1e3!4b1!4m20!4m19!1m5!1m1!1s0x9681402690dd76eb:0x4b283f8fe10ce3f3!2m2!1d-68.5293761!2d-31.5426363!1m5!1m1!1s0x968169d20f5aaeb9:0x7ad76b32c3d8acc3!2m2!1d-68.521542!2d-31.4377963!1m5!1m1!1s0x9681402690dd76eb:0x4b283f8fe10ce3f3!2m2!1d-68.5293761!2d-31.5426363!3e0?hl=es&amp;entry=ttu&amp;g_ep=EgoyMDI1MDgxMy4wIKXMDSoASAFQAw%3D%3D</v>
      </c>
      <c r="M253" s="21" t="str">
        <f t="shared" si="18"/>
        <v>https://webagentes.canaldirecto.com.ar/incidents/view/831493-6</v>
      </c>
      <c r="N253" s="21" t="str">
        <f t="shared" si="19"/>
        <v>https://webagentes.canaldirecto.com.ar/incidents/view/831493-6</v>
      </c>
      <c r="O253" s="21"/>
      <c r="P253" s="22"/>
    </row>
    <row r="254" spans="1:16" s="23" customFormat="1" ht="21" customHeight="1" thickBot="1" x14ac:dyDescent="0.25">
      <c r="A254" s="28">
        <v>1</v>
      </c>
      <c r="B254" s="29" t="s">
        <v>703</v>
      </c>
      <c r="C254" s="18" t="s">
        <v>19</v>
      </c>
      <c r="D254" s="18" t="s">
        <v>36</v>
      </c>
      <c r="E254" s="18" t="s">
        <v>27</v>
      </c>
      <c r="F254" s="18" t="s">
        <v>704</v>
      </c>
      <c r="G254" s="18" t="s">
        <v>705</v>
      </c>
      <c r="H254" s="41">
        <v>20260427</v>
      </c>
      <c r="I254" s="15" t="str">
        <f t="shared" si="20"/>
        <v>CAUCETE</v>
      </c>
      <c r="J254" s="15">
        <f t="shared" si="21"/>
        <v>60.3</v>
      </c>
      <c r="K254" s="15"/>
      <c r="L254" s="20" t="str">
        <f t="shared" si="22"/>
        <v>https://www.google.com/maps/dir/Catamarca+Sur+664,+San+Juan/Escuela+E.E.E+Maria+Montessori,+Juan+Jos%C3%A9+Bustos,+J5442+Caucete,+San+Juan/Catamarca+Sur+664,+San+Juan/@-31.5951035,-68.4838328,19738m/data=!3m1!1e3!4m20!4m19!1m5!1m1!1s0x9681402690dd76eb:0x4b283f8fe10ce3f3!2m2!1d-68.5293761!2d-31.5426363!1m5!1m1!1s0x96810f6e221252ed:0xcd148e4a08caac4b!2m2!1d-68.2745389!2d-31.6489744!1m5!1m1!1s0x9681402690dd76eb:0x4b283f8fe10ce3f3!2m2!1d-68.5293761!2d-31.5426363!3e0?hl=es&amp;entry=ttu&amp;g_ep=EgoyMDI1MDczMC4wIKXMDSoASAFQAw%3D%3D</v>
      </c>
      <c r="M254" s="21" t="str">
        <f t="shared" si="18"/>
        <v>https://webagentes.canaldirecto.com.ar/incidents/view/831492-7</v>
      </c>
      <c r="N254" s="21" t="str">
        <f t="shared" si="19"/>
        <v>https://webagentes.canaldirecto.com.ar/incidents/view/831492-7</v>
      </c>
      <c r="O254" s="21"/>
      <c r="P254" s="22"/>
    </row>
    <row r="255" spans="1:16" s="23" customFormat="1" ht="21" customHeight="1" thickBot="1" x14ac:dyDescent="0.25">
      <c r="A255" s="28">
        <v>1</v>
      </c>
      <c r="B255" s="29" t="s">
        <v>706</v>
      </c>
      <c r="C255" s="18" t="s">
        <v>19</v>
      </c>
      <c r="D255" s="18" t="s">
        <v>36</v>
      </c>
      <c r="E255" s="18" t="s">
        <v>27</v>
      </c>
      <c r="F255" s="18" t="s">
        <v>707</v>
      </c>
      <c r="G255" s="18" t="s">
        <v>708</v>
      </c>
      <c r="H255" s="41">
        <v>20260427</v>
      </c>
      <c r="I255" s="15" t="e">
        <f t="shared" si="20"/>
        <v>#N/A</v>
      </c>
      <c r="J255" s="15" t="e">
        <f t="shared" si="21"/>
        <v>#N/A</v>
      </c>
      <c r="K255" s="15"/>
      <c r="L255" s="20" t="e">
        <f t="shared" si="22"/>
        <v>#N/A</v>
      </c>
      <c r="M255" s="21" t="str">
        <f t="shared" si="18"/>
        <v>https://webagentes.canaldirecto.com.ar/incidents/view/831491-8</v>
      </c>
      <c r="N255" s="21" t="str">
        <f t="shared" si="19"/>
        <v>https://webagentes.canaldirecto.com.ar/incidents/view/831491-8</v>
      </c>
      <c r="O255" s="21"/>
      <c r="P255" s="22"/>
    </row>
    <row r="256" spans="1:16" s="23" customFormat="1" ht="21" customHeight="1" thickBot="1" x14ac:dyDescent="0.25">
      <c r="A256" s="28">
        <v>1</v>
      </c>
      <c r="B256" s="29" t="s">
        <v>709</v>
      </c>
      <c r="C256" s="18" t="s">
        <v>19</v>
      </c>
      <c r="D256" s="18" t="s">
        <v>36</v>
      </c>
      <c r="E256" s="18" t="s">
        <v>27</v>
      </c>
      <c r="F256" s="18" t="s">
        <v>710</v>
      </c>
      <c r="G256" s="18" t="s">
        <v>711</v>
      </c>
      <c r="H256" s="41">
        <v>20260427</v>
      </c>
      <c r="I256" s="15" t="str">
        <f t="shared" si="20"/>
        <v>Caucete</v>
      </c>
      <c r="J256" s="15">
        <f t="shared" si="21"/>
        <v>61.5</v>
      </c>
      <c r="K256" s="15"/>
      <c r="L256" s="20" t="str">
        <f t="shared" si="22"/>
        <v>https://www.google.com/maps/dir/Catamarca+Sur+664,+San+Juan/Escuela+Normal+Superior+General+Manuel+Belgrano,+9+de+Julio+964+S+(CP:+5442),+Caucete,+San+Juan/Catamarca+Sur+664,+San+Juan/@-31.5978361,-68.484563,19737m/data=!3m2!1e3!4b1!4m20!4m19!1m5!1m1!1s0x9681402690dd76eb:0x4b283f8fe10ce3f3!2m2!1d-68.5293761!2d-31.5426363!1m5!1m1!1s0x96810ee2d3f8ce4f:0x20ac166fffb53060!2m2!1d-68.2736487!2d-31.6541979!1m5!1m1!1s0x9681402690dd76eb:0x4b283f8fe10ce3f3!2m2!1d-68.5293761!2d-31.5426363!3e0?entry=ttu&amp;g_ep=EgoyMDI1MDgxMy4wIKXMDSoASAFQAw%3D%3D</v>
      </c>
      <c r="M256" s="21" t="str">
        <f t="shared" si="18"/>
        <v>https://webagentes.canaldirecto.com.ar/incidents/view/831490-9</v>
      </c>
      <c r="N256" s="21" t="str">
        <f t="shared" si="19"/>
        <v>https://webagentes.canaldirecto.com.ar/incidents/view/831490-9</v>
      </c>
      <c r="O256" s="21"/>
      <c r="P256" s="22"/>
    </row>
    <row r="257" spans="1:16" s="23" customFormat="1" ht="21" customHeight="1" thickBot="1" x14ac:dyDescent="0.25">
      <c r="A257" s="28">
        <v>1</v>
      </c>
      <c r="B257" s="29" t="s">
        <v>712</v>
      </c>
      <c r="C257" s="18" t="s">
        <v>19</v>
      </c>
      <c r="D257" s="18" t="s">
        <v>36</v>
      </c>
      <c r="E257" s="18" t="s">
        <v>27</v>
      </c>
      <c r="F257" s="18" t="s">
        <v>710</v>
      </c>
      <c r="G257" s="18" t="s">
        <v>713</v>
      </c>
      <c r="H257" s="41">
        <v>20260427</v>
      </c>
      <c r="I257" s="15" t="str">
        <f t="shared" si="20"/>
        <v>Caucete</v>
      </c>
      <c r="J257" s="15">
        <f t="shared" si="21"/>
        <v>61.5</v>
      </c>
      <c r="K257" s="15"/>
      <c r="L257" s="20" t="str">
        <f t="shared" si="22"/>
        <v>https://www.google.com/maps/dir/Catamarca+Sur+664,+San+Juan/Escuela+Normal+Superior+General+Manuel+Belgrano,+9+de+Julio+964+S+(CP:+5442),+Caucete,+San+Juan/Catamarca+Sur+664,+San+Juan/@-31.5978361,-68.484563,19737m/data=!3m2!1e3!4b1!4m20!4m19!1m5!1m1!1s0x9681402690dd76eb:0x4b283f8fe10ce3f3!2m2!1d-68.5293761!2d-31.5426363!1m5!1m1!1s0x96810ee2d3f8ce4f:0x20ac166fffb53060!2m2!1d-68.2736487!2d-31.6541979!1m5!1m1!1s0x9681402690dd76eb:0x4b283f8fe10ce3f3!2m2!1d-68.5293761!2d-31.5426363!3e0?entry=ttu&amp;g_ep=EgoyMDI1MDgxMy4wIKXMDSoASAFQAw%3D%3D</v>
      </c>
      <c r="M257" s="21" t="str">
        <f t="shared" si="18"/>
        <v>https://webagentes.canaldirecto.com.ar/incidents/view/831489-3</v>
      </c>
      <c r="N257" s="21" t="str">
        <f t="shared" si="19"/>
        <v>https://webagentes.canaldirecto.com.ar/incidents/view/831489-3</v>
      </c>
      <c r="O257" s="21"/>
      <c r="P257" s="22"/>
    </row>
    <row r="258" spans="1:16" s="23" customFormat="1" ht="21" customHeight="1" thickBot="1" x14ac:dyDescent="0.25">
      <c r="A258" s="28">
        <v>1</v>
      </c>
      <c r="B258" s="29" t="s">
        <v>714</v>
      </c>
      <c r="C258" s="18" t="s">
        <v>19</v>
      </c>
      <c r="D258" s="18" t="s">
        <v>36</v>
      </c>
      <c r="E258" s="18" t="s">
        <v>27</v>
      </c>
      <c r="F258" s="18" t="s">
        <v>710</v>
      </c>
      <c r="G258" s="18" t="s">
        <v>715</v>
      </c>
      <c r="H258" s="41">
        <v>20260427</v>
      </c>
      <c r="I258" s="15" t="str">
        <f t="shared" si="20"/>
        <v>Caucete</v>
      </c>
      <c r="J258" s="15">
        <f t="shared" si="21"/>
        <v>61.5</v>
      </c>
      <c r="K258" s="15"/>
      <c r="L258" s="20" t="str">
        <f t="shared" si="22"/>
        <v>https://www.google.com/maps/dir/Catamarca+Sur+664,+San+Juan/Escuela+Normal+Superior+General+Manuel+Belgrano,+9+de+Julio+964+S+(CP:+5442),+Caucete,+San+Juan/Catamarca+Sur+664,+San+Juan/@-31.5978361,-68.484563,19737m/data=!3m2!1e3!4b1!4m20!4m19!1m5!1m1!1s0x9681402690dd76eb:0x4b283f8fe10ce3f3!2m2!1d-68.5293761!2d-31.5426363!1m5!1m1!1s0x96810ee2d3f8ce4f:0x20ac166fffb53060!2m2!1d-68.2736487!2d-31.6541979!1m5!1m1!1s0x9681402690dd76eb:0x4b283f8fe10ce3f3!2m2!1d-68.5293761!2d-31.5426363!3e0?entry=ttu&amp;g_ep=EgoyMDI1MDgxMy4wIKXMDSoASAFQAw%3D%3D</v>
      </c>
      <c r="M258" s="21" t="str">
        <f t="shared" si="18"/>
        <v>https://webagentes.canaldirecto.com.ar/incidents/view/831488-4</v>
      </c>
      <c r="N258" s="21" t="str">
        <f t="shared" si="19"/>
        <v>https://webagentes.canaldirecto.com.ar/incidents/view/831488-4</v>
      </c>
      <c r="O258" s="21"/>
      <c r="P258" s="22"/>
    </row>
    <row r="259" spans="1:16" s="23" customFormat="1" ht="21" customHeight="1" thickBot="1" x14ac:dyDescent="0.25">
      <c r="A259" s="28">
        <v>1</v>
      </c>
      <c r="B259" s="29" t="s">
        <v>716</v>
      </c>
      <c r="C259" s="18" t="s">
        <v>19</v>
      </c>
      <c r="D259" s="18" t="s">
        <v>36</v>
      </c>
      <c r="E259" s="18" t="s">
        <v>27</v>
      </c>
      <c r="F259" s="18" t="s">
        <v>717</v>
      </c>
      <c r="G259" s="18" t="s">
        <v>718</v>
      </c>
      <c r="H259" s="41">
        <v>20260427</v>
      </c>
      <c r="I259" s="15" t="str">
        <f t="shared" si="20"/>
        <v>Caucete</v>
      </c>
      <c r="J259" s="15">
        <f t="shared" si="21"/>
        <v>64.099999999999994</v>
      </c>
      <c r="K259" s="15">
        <v>64.099999999999994</v>
      </c>
      <c r="L259" s="20" t="str">
        <f t="shared" si="22"/>
        <v>https://www.google.com/maps/dir/Catamarca+Sur+664,+San+Juan/Escuela+Los+Manantiales,+J.+M.+Rodr%C3%ADguez,+J5442+San+Juan/Catamarca+Sur+664,+San+Juan/@-31.6040019,-68.4824846,19736m/data=!3m2!1e3!4b1!4m20!4m19!1m5!1m1!1s0x9681402690dd76eb:0x4b283f8fe10ce3f3!2m2!1d-68.5293623!2d-31.542635!1m5!1m1!1s0x96810f1a33fd98ef:0xd396461813a72cbc!2m2!1d-68.2691775!2d-31.6664654!1m5!1m1!1s0x9681402690dd76eb:0x4b283f8fe10ce3f3!2m2!1d-68.5293623!2d-31.542635!3e0?hl=es&amp;entry=ttu&amp;g_ep=EgoyMDI1MDgxOS4wIKXMDSoASAFQAw%3D%3D</v>
      </c>
      <c r="M259" s="21" t="str">
        <f t="shared" ref="M259:M322" si="23">HYPERLINK(N259)</f>
        <v>https://webagentes.canaldirecto.com.ar/incidents/view/831487-5</v>
      </c>
      <c r="N259" s="21" t="str">
        <f t="shared" ref="N259:N322" si="24">CONCATENATE("https://webagentes.canaldirecto.com.ar/incidents/view/",B259)</f>
        <v>https://webagentes.canaldirecto.com.ar/incidents/view/831487-5</v>
      </c>
      <c r="O259" s="21"/>
      <c r="P259" s="22"/>
    </row>
    <row r="260" spans="1:16" s="23" customFormat="1" ht="21" customHeight="1" thickBot="1" x14ac:dyDescent="0.25">
      <c r="A260" s="28">
        <v>1</v>
      </c>
      <c r="B260" s="29" t="s">
        <v>719</v>
      </c>
      <c r="C260" s="18" t="s">
        <v>19</v>
      </c>
      <c r="D260" s="18" t="s">
        <v>36</v>
      </c>
      <c r="E260" s="18" t="s">
        <v>27</v>
      </c>
      <c r="F260" s="18" t="s">
        <v>720</v>
      </c>
      <c r="G260" s="18" t="s">
        <v>721</v>
      </c>
      <c r="H260" s="41">
        <v>20260427</v>
      </c>
      <c r="I260" s="15" t="str">
        <f t="shared" ref="I260:I323" si="25">VLOOKUP(G260,DIOS,2,FALSE)</f>
        <v>Caucete</v>
      </c>
      <c r="J260" s="15">
        <f t="shared" ref="J260:J323" si="26">VLOOKUP(G260,DIOS,5,FALSE)</f>
        <v>63.6</v>
      </c>
      <c r="K260" s="15"/>
      <c r="L260" s="20" t="str">
        <f t="shared" ref="L260:L286" si="27">VLOOKUP(G260,DIOS,4,FALSE)</f>
        <v>https://www.google.com/maps/dir/Catamarca+Sur+664,+San+Juan/Escuela+Eni+N%C2%B029+Papa+Francisco,+J5442+Caucete,+San+Juan/Catamarca+Sur+664,+San+Juan/@-31.603555,-68.4825538,19736m/data=!3m2!1e3!4b1!4m20!4m19!1m5!1m1!1s0x9681402690dd76eb:0x4b283f8fe10ce3f3!2m2!1d-68.5293761!2d-31.5426363!1m5!1m1!1s0x96810f896a1db14b:0xd13365ff061f8237!2m2!1d-68.2692738!2d-31.6659258!1m5!1m1!1s0x9681402690dd76eb:0x4b283f8fe10ce3f3!2m2!1d-68.5293761!2d-31.5426363!3e0?entry=ttu&amp;g_ep=EgoyMDI1MDgxMy4wIKXMDSoASAFQAw%3D%3D</v>
      </c>
      <c r="M260" s="21" t="str">
        <f t="shared" si="23"/>
        <v>https://webagentes.canaldirecto.com.ar/incidents/view/831486-6</v>
      </c>
      <c r="N260" s="21" t="str">
        <f t="shared" si="24"/>
        <v>https://webagentes.canaldirecto.com.ar/incidents/view/831486-6</v>
      </c>
      <c r="O260" s="21"/>
      <c r="P260" s="22"/>
    </row>
    <row r="261" spans="1:16" s="23" customFormat="1" ht="21" customHeight="1" thickBot="1" x14ac:dyDescent="0.25">
      <c r="A261" s="28">
        <v>1</v>
      </c>
      <c r="B261" s="29" t="s">
        <v>722</v>
      </c>
      <c r="C261" s="18" t="s">
        <v>19</v>
      </c>
      <c r="D261" s="18" t="s">
        <v>36</v>
      </c>
      <c r="E261" s="18" t="s">
        <v>27</v>
      </c>
      <c r="F261" s="18" t="s">
        <v>710</v>
      </c>
      <c r="G261" s="18" t="s">
        <v>723</v>
      </c>
      <c r="H261" s="41">
        <v>20260427</v>
      </c>
      <c r="I261" s="15" t="str">
        <f t="shared" si="25"/>
        <v>Caucete</v>
      </c>
      <c r="J261" s="15">
        <f t="shared" si="26"/>
        <v>61.5</v>
      </c>
      <c r="K261" s="15"/>
      <c r="L261" s="20" t="str">
        <f t="shared" si="27"/>
        <v>https://www.google.com/maps/dir/Catamarca+Sur+664,+San+Juan/Escuela+Normal+Superior+General+Manuel+Belgrano,+9+de+Julio+964+S+(CP:+5442),+Caucete,+San+Juan/Catamarca+Sur+664,+San+Juan/@-31.5978361,-68.484563,19737m/data=!3m2!1e3!4b1!4m20!4m19!1m5!1m1!1s0x9681402690dd76eb:0x4b283f8fe10ce3f3!2m2!1d-68.5293761!2d-31.5426363!1m5!1m1!1s0x96810ee2d3f8ce4f:0x20ac166fffb53060!2m2!1d-68.2736487!2d-31.6541979!1m5!1m1!1s0x9681402690dd76eb:0x4b283f8fe10ce3f3!2m2!1d-68.5293761!2d-31.5426363!3e0?entry=ttu&amp;g_ep=EgoyMDI1MDgxMy4wIKXMDSoASAFQAw%3D%3D</v>
      </c>
      <c r="M261" s="21" t="str">
        <f t="shared" si="23"/>
        <v>https://webagentes.canaldirecto.com.ar/incidents/view/831485-7</v>
      </c>
      <c r="N261" s="21" t="str">
        <f t="shared" si="24"/>
        <v>https://webagentes.canaldirecto.com.ar/incidents/view/831485-7</v>
      </c>
      <c r="O261" s="21"/>
      <c r="P261" s="22"/>
    </row>
    <row r="262" spans="1:16" s="23" customFormat="1" ht="21" customHeight="1" thickBot="1" x14ac:dyDescent="0.25">
      <c r="A262" s="24">
        <v>3</v>
      </c>
      <c r="B262" s="25" t="s">
        <v>724</v>
      </c>
      <c r="C262" s="18" t="s">
        <v>19</v>
      </c>
      <c r="D262" s="18" t="s">
        <v>20</v>
      </c>
      <c r="E262" s="18" t="s">
        <v>27</v>
      </c>
      <c r="F262" s="18" t="s">
        <v>155</v>
      </c>
      <c r="G262" s="18" t="s">
        <v>156</v>
      </c>
      <c r="H262" s="41">
        <v>20260427</v>
      </c>
      <c r="I262" s="15" t="e">
        <f t="shared" si="25"/>
        <v>#N/A</v>
      </c>
      <c r="J262" s="15" t="e">
        <f t="shared" si="26"/>
        <v>#N/A</v>
      </c>
      <c r="K262" s="15"/>
      <c r="L262" s="20" t="e">
        <f t="shared" si="27"/>
        <v>#N/A</v>
      </c>
      <c r="M262" s="21" t="str">
        <f t="shared" si="23"/>
        <v>https://webagentes.canaldirecto.com.ar/incidents/view/831421-9</v>
      </c>
      <c r="N262" s="21" t="str">
        <f t="shared" si="24"/>
        <v>https://webagentes.canaldirecto.com.ar/incidents/view/831421-9</v>
      </c>
      <c r="O262" s="21"/>
      <c r="P262" s="22"/>
    </row>
    <row r="263" spans="1:16" s="23" customFormat="1" ht="21" customHeight="1" thickBot="1" x14ac:dyDescent="0.25">
      <c r="A263" s="16">
        <v>2</v>
      </c>
      <c r="B263" s="17" t="s">
        <v>725</v>
      </c>
      <c r="C263" s="18" t="s">
        <v>19</v>
      </c>
      <c r="D263" s="18" t="s">
        <v>26</v>
      </c>
      <c r="E263" s="18" t="s">
        <v>27</v>
      </c>
      <c r="F263" s="18" t="s">
        <v>155</v>
      </c>
      <c r="G263" s="18" t="s">
        <v>441</v>
      </c>
      <c r="H263" s="41">
        <v>20260427</v>
      </c>
      <c r="I263" s="15" t="str">
        <f t="shared" si="25"/>
        <v>Rawson</v>
      </c>
      <c r="J263" s="15">
        <f t="shared" si="26"/>
        <v>8.8000000000000007</v>
      </c>
      <c r="K263" s="15"/>
      <c r="L263" s="20" t="str">
        <f t="shared" si="27"/>
        <v>https://www.google.com/maps/dir/Catamarca+Sur,+San+Juan/Escuela+Hogar+%22Jos%C3%A9+Manuel+Estrada%22,+J5425+Villa+Krause,+San+Juan/Catamarca+Sur,+San+Juan/@-31.5562638,-68.5472811,4937m/data=!3m2!1e3!4b1!4m20!4m19!1m5!1m1!1s0x968140269756b7e1:0x3c38eb6d66eb45d!2m2!1d-68.5295918!2d-31.5427459!1m5!1m1!1s0x96814000b15bf8d9:0xcb9eae0fd9e699d2!2m2!1d-68.530994!2d-31.5702997!1m5!1m1!1s0x968140269756b7e1:0x3c38eb6d66eb45d!2m2!1d-68.5295918!2d-31.5427459!3e0?hl=es&amp;entry=ttu&amp;g_ep=EgoyMDI1MTAwOC4wIKXMDSoASAFQAw%3D%3D</v>
      </c>
      <c r="M263" s="21" t="str">
        <f t="shared" si="23"/>
        <v>https://webagentes.canaldirecto.com.ar/incidents/view/831419-4</v>
      </c>
      <c r="N263" s="21" t="str">
        <f t="shared" si="24"/>
        <v>https://webagentes.canaldirecto.com.ar/incidents/view/831419-4</v>
      </c>
      <c r="O263" s="21"/>
      <c r="P263" s="22"/>
    </row>
    <row r="264" spans="1:16" s="23" customFormat="1" ht="21" customHeight="1" thickBot="1" x14ac:dyDescent="0.25">
      <c r="A264" s="24">
        <v>3</v>
      </c>
      <c r="B264" s="25" t="s">
        <v>726</v>
      </c>
      <c r="C264" s="18" t="s">
        <v>19</v>
      </c>
      <c r="D264" s="18" t="s">
        <v>20</v>
      </c>
      <c r="E264" s="18" t="s">
        <v>27</v>
      </c>
      <c r="F264" s="18" t="s">
        <v>727</v>
      </c>
      <c r="G264" s="18" t="s">
        <v>728</v>
      </c>
      <c r="H264" s="41">
        <v>20260427</v>
      </c>
      <c r="I264" s="15" t="str">
        <f t="shared" si="25"/>
        <v>Rivadavia</v>
      </c>
      <c r="J264" s="15">
        <f t="shared" si="26"/>
        <v>18</v>
      </c>
      <c r="K264" s="15"/>
      <c r="L264" s="20" t="str">
        <f t="shared" si="27"/>
        <v>https://www.google.com/maps/dir/Catamarca+Sur+664,+San+Juan/Col.+Prov.+B%C2%B0+Parque+Rivadavia+Norte,+Eva+Duarte+de+Per%C3%B3n,+J5406+Rivadavia,+San+Juan/Catamarca+Sur+664,+San+Juan/@-31.5340182,-68.5971205,9875m/data=!3m2!1e3!4b1!4m20!4m19!1m5!1m1!1s0x9681402690dd76eb:0x4b283f8fe10ce3f3!2m2!1d-68.5293623!2d-31.542635!1m5!1m1!1s0x96814172e265a52f:0xcdd309cd9041a433!2m2!1d-68.5816767!2d-31.5129827!1m5!1m1!1s0x9681402690dd76eb:0x4b283f8fe10ce3f3!2m2!1d-68.5293623!2d-31.542635!3e0?hl=es&amp;entry=ttu&amp;g_ep=EgoyMDI1MDgxOS4wIKXMDSoASAFQAw%3D%3D</v>
      </c>
      <c r="M264" s="21" t="str">
        <f t="shared" si="23"/>
        <v>https://webagentes.canaldirecto.com.ar/incidents/view/831320-1</v>
      </c>
      <c r="N264" s="21" t="str">
        <f t="shared" si="24"/>
        <v>https://webagentes.canaldirecto.com.ar/incidents/view/831320-1</v>
      </c>
      <c r="O264" s="21"/>
      <c r="P264" s="22"/>
    </row>
    <row r="265" spans="1:16" s="23" customFormat="1" ht="21" customHeight="1" thickBot="1" x14ac:dyDescent="0.25">
      <c r="A265" s="24">
        <v>3</v>
      </c>
      <c r="B265" s="25" t="s">
        <v>729</v>
      </c>
      <c r="C265" s="18" t="s">
        <v>19</v>
      </c>
      <c r="D265" s="18" t="s">
        <v>20</v>
      </c>
      <c r="E265" s="18" t="s">
        <v>27</v>
      </c>
      <c r="F265" s="18" t="s">
        <v>730</v>
      </c>
      <c r="G265" s="18" t="s">
        <v>731</v>
      </c>
      <c r="H265" s="41">
        <v>20260427</v>
      </c>
      <c r="I265" s="15" t="str">
        <f t="shared" si="25"/>
        <v>Rivadavia</v>
      </c>
      <c r="J265" s="15">
        <f t="shared" si="26"/>
        <v>22.3</v>
      </c>
      <c r="K265" s="15">
        <v>22.3</v>
      </c>
      <c r="L265" s="20" t="str">
        <f t="shared" si="27"/>
        <v>https://www.google.com/maps/dir/Catamarca+Sur+664,+San+Juan/Escuela+Roque+Saenz+Pe%C3%B1a,+Av.+Libertador+Gral.+San+Mart%C3%ADn,+Rivadavia,+San+Juan/Catamarca+Sur+664,+San+Juan/@-31.533812,-68.6221783,9875m/data=!3m2!1e3!4b1!4m20!4m19!1m5!1m1!1s0x9681402690dd76eb:0x4b283f8fe10ce3f3!2m2!1d-68.5293623!2d-31.542635!1m5!1m1!1s0x968146c571cfd03b:0xd185bb9768354a64!2m2!1d-68.6311891!2d-31.5260688!1m5!1m1!1s0x9681402690dd76eb:0x4b283f8fe10ce3f3!2m2!1d-68.5293623!2d-31.542635!3e0?entry=ttu&amp;g_ep=EgoyMDI1MDgxOS4wIKXMDSoASAFQAw%3D%3D</v>
      </c>
      <c r="M265" s="21" t="str">
        <f t="shared" si="23"/>
        <v>https://webagentes.canaldirecto.com.ar/incidents/view/831223-9</v>
      </c>
      <c r="N265" s="21" t="str">
        <f t="shared" si="24"/>
        <v>https://webagentes.canaldirecto.com.ar/incidents/view/831223-9</v>
      </c>
      <c r="O265" s="21"/>
      <c r="P265" s="22"/>
    </row>
    <row r="266" spans="1:16" s="23" customFormat="1" ht="21" customHeight="1" thickBot="1" x14ac:dyDescent="0.25">
      <c r="A266" s="24">
        <v>3</v>
      </c>
      <c r="B266" s="25" t="s">
        <v>732</v>
      </c>
      <c r="C266" s="18" t="s">
        <v>19</v>
      </c>
      <c r="D266" s="18" t="s">
        <v>20</v>
      </c>
      <c r="E266" s="18" t="s">
        <v>27</v>
      </c>
      <c r="F266" s="18" t="s">
        <v>733</v>
      </c>
      <c r="G266" s="18" t="s">
        <v>734</v>
      </c>
      <c r="H266" s="41">
        <v>20260427</v>
      </c>
      <c r="I266" s="15" t="str">
        <f t="shared" si="25"/>
        <v>Rawson</v>
      </c>
      <c r="J266" s="15">
        <f t="shared" si="26"/>
        <v>21.3</v>
      </c>
      <c r="K266" s="15"/>
      <c r="L266" s="20" t="str">
        <f t="shared" si="27"/>
        <v>https://www.google.com/maps/dir/Catamarca+Sur+664,+San+Juan/Barrio+Valle+Grande,+Calle+Chacabuco+Sur,+Rivadavia,+San+Juan/Catamarca+Sur+664,+San+Juan/@-31.560851,-68.603835,9873m/data=!3m2!1e3!4b1!4m20!4m19!1m5!1m1!1s0x9681402690dd76eb:0x4b283f8fe10ce3f3!2m2!1d-68.5293761!2d-31.5426363!1m5!1m1!1s0x968140bdee5ed25d:0xf9e8e516dc3a0580!2m2!1d-68.5971886!2d-31.5705146!1m5!1m1!1s0x9681402690dd76eb:0x4b283f8fe10ce3f3!2m2!1d-68.5293761!2d-31.5426363!3e0?entry=ttu&amp;g_ep=EgoyMDI1MDgxMy4wIKXMDSoASAFQAw%3D%3D</v>
      </c>
      <c r="M266" s="21" t="str">
        <f t="shared" si="23"/>
        <v>https://webagentes.canaldirecto.com.ar/incidents/view/831174-4</v>
      </c>
      <c r="N266" s="21" t="str">
        <f t="shared" si="24"/>
        <v>https://webagentes.canaldirecto.com.ar/incidents/view/831174-4</v>
      </c>
      <c r="O266" s="21"/>
      <c r="P266" s="22"/>
    </row>
    <row r="267" spans="1:16" s="23" customFormat="1" ht="21" customHeight="1" thickBot="1" x14ac:dyDescent="0.25">
      <c r="A267" s="24">
        <v>3</v>
      </c>
      <c r="B267" s="25" t="s">
        <v>735</v>
      </c>
      <c r="C267" s="18" t="s">
        <v>19</v>
      </c>
      <c r="D267" s="18" t="s">
        <v>20</v>
      </c>
      <c r="E267" s="18" t="s">
        <v>27</v>
      </c>
      <c r="F267" s="18" t="s">
        <v>736</v>
      </c>
      <c r="G267" s="18" t="s">
        <v>737</v>
      </c>
      <c r="H267" s="41">
        <v>20260427</v>
      </c>
      <c r="I267" s="15" t="str">
        <f t="shared" si="25"/>
        <v>Chimbas</v>
      </c>
      <c r="J267" s="15">
        <f t="shared" si="26"/>
        <v>18.7</v>
      </c>
      <c r="K267" s="15"/>
      <c r="L267" s="20" t="str">
        <f t="shared" si="27"/>
        <v>https://www.google.com/maps/dir/Catamarca+Sur+664,+San+Juan/25+de+Mayo+Oeste+%26+C.+La+Isla+N,+J5413+Chimbas,+San+Juan/Catamarca+Sur+664,+San+Juan/@-31.5267111,-68.5895993,9876m/data=!3m2!1e3!4b1!4m20!4m19!1m5!1m1!1s0x9681402690dd76eb:0x4b283f8fe10ce3f3!2m2!1d-68.5293761!2d-31.5426363!1m5!1m1!1s0x9681418465fc54fd:0xd6a1c8bce0558f8d!2m2!1d-68.5653436!2d-31.4981295!1m5!1m1!1s0x9681402690dd76eb:0x4b283f8fe10ce3f3!2m2!1d-68.5293761!2d-31.5426363!3e0?entry=ttu&amp;g_ep=EgoyMDI1MDgxMy4wIKXMDSoASAFQAw%3D%3D</v>
      </c>
      <c r="M267" s="21" t="str">
        <f t="shared" si="23"/>
        <v>https://webagentes.canaldirecto.com.ar/incidents/view/831095-8</v>
      </c>
      <c r="N267" s="21" t="str">
        <f t="shared" si="24"/>
        <v>https://webagentes.canaldirecto.com.ar/incidents/view/831095-8</v>
      </c>
      <c r="O267" s="21"/>
      <c r="P267" s="22"/>
    </row>
    <row r="268" spans="1:16" s="23" customFormat="1" ht="21" customHeight="1" thickBot="1" x14ac:dyDescent="0.25">
      <c r="A268" s="28">
        <v>1</v>
      </c>
      <c r="B268" s="29" t="s">
        <v>738</v>
      </c>
      <c r="C268" s="18" t="s">
        <v>19</v>
      </c>
      <c r="D268" s="18" t="s">
        <v>20</v>
      </c>
      <c r="E268" s="18" t="s">
        <v>27</v>
      </c>
      <c r="F268" s="18" t="s">
        <v>739</v>
      </c>
      <c r="G268" s="18" t="s">
        <v>740</v>
      </c>
      <c r="H268" s="41">
        <v>20260427</v>
      </c>
      <c r="I268" s="15" t="str">
        <f t="shared" si="25"/>
        <v>Caucete</v>
      </c>
      <c r="J268" s="15">
        <f t="shared" si="26"/>
        <v>58.9</v>
      </c>
      <c r="K268" s="15"/>
      <c r="L268" s="20" t="str">
        <f t="shared" si="27"/>
        <v>https://www.google.com/maps/dir/Catamarca+Sur+664,+San+Juan/-31.6371909,-68.2826239/Catamarca+Sur+664,+San+Juan/@-31.5928559,-68.4892519,19738m/data=!3m2!1e3!4b1!4m15!4m14!1m5!1m1!1s0x9681402690dd76eb:0x4b283f8fe10ce3f3!2m2!1d-68.5293761!2d-31.5426363!1m0!1m5!1m1!1s0x9681402690dd76eb:0x4b283f8fe10ce3f3!2m2!1d-68.5293761!2d-31.5426363!3e0?hl=es&amp;entry=ttu&amp;g_ep=EgoyMDI1MDgxMy4wIKXMDSoASAFQAw%3D%3D</v>
      </c>
      <c r="M268" s="21" t="str">
        <f t="shared" si="23"/>
        <v>https://webagentes.canaldirecto.com.ar/incidents/view/831047-1</v>
      </c>
      <c r="N268" s="21" t="str">
        <f t="shared" si="24"/>
        <v>https://webagentes.canaldirecto.com.ar/incidents/view/831047-1</v>
      </c>
      <c r="O268" s="21"/>
      <c r="P268" s="22"/>
    </row>
    <row r="269" spans="1:16" s="23" customFormat="1" ht="21" customHeight="1" thickBot="1" x14ac:dyDescent="0.25">
      <c r="A269" s="24">
        <v>3</v>
      </c>
      <c r="B269" s="25" t="s">
        <v>741</v>
      </c>
      <c r="C269" s="18" t="s">
        <v>19</v>
      </c>
      <c r="D269" s="18" t="s">
        <v>20</v>
      </c>
      <c r="E269" s="18" t="s">
        <v>27</v>
      </c>
      <c r="F269" s="18" t="s">
        <v>742</v>
      </c>
      <c r="G269" s="18" t="s">
        <v>743</v>
      </c>
      <c r="H269" s="41">
        <v>20260427</v>
      </c>
      <c r="I269" s="15" t="str">
        <f t="shared" si="25"/>
        <v>Rawson</v>
      </c>
      <c r="J269" s="15">
        <f t="shared" si="26"/>
        <v>11.6</v>
      </c>
      <c r="K269" s="15"/>
      <c r="L269" s="20" t="str">
        <f t="shared" si="27"/>
        <v>https://www.google.com/maps/dir/Catamarca+Sur+664,+San+Juan/Jos%C3%A9+Mar%C3%ADa+Paz+Oeste+%26+Magallanes,+J5425+Villa+Krause,+San+Juan/Catamarca+Sur+664,+San+Juan/@-31.5594164,-68.563064,4936m/data=!3m2!1e3!4b1!4m20!4m19!1m5!1m1!1s0x9681402690dd76eb:0x4b283f8fe10ce3f3!2m2!1d-68.5293761!2d-31.5426363!1m5!1m1!1s0x96813f89d7bb9031:0xc8e397208a2c89a!2m2!1d-68.5568805!2d-31.576299!1m5!1m1!1s0x9681402690dd76eb:0x4b283f8fe10ce3f3!2m2!1d-68.5293761!2d-31.5426363!3e0?entry=ttu&amp;g_ep=EgoyMDI1MDgxMy4wIKXMDSoASAFQAw%3D%3D</v>
      </c>
      <c r="M269" s="21" t="str">
        <f t="shared" si="23"/>
        <v>https://webagentes.canaldirecto.com.ar/incidents/view/831028-6</v>
      </c>
      <c r="N269" s="21" t="str">
        <f t="shared" si="24"/>
        <v>https://webagentes.canaldirecto.com.ar/incidents/view/831028-6</v>
      </c>
      <c r="O269" s="21"/>
      <c r="P269" s="22"/>
    </row>
    <row r="270" spans="1:16" s="23" customFormat="1" ht="21" customHeight="1" thickBot="1" x14ac:dyDescent="0.25">
      <c r="A270" s="16">
        <v>2</v>
      </c>
      <c r="B270" s="17" t="s">
        <v>744</v>
      </c>
      <c r="C270" s="18" t="s">
        <v>19</v>
      </c>
      <c r="D270" s="18" t="s">
        <v>20</v>
      </c>
      <c r="E270" s="18" t="s">
        <v>27</v>
      </c>
      <c r="F270" s="18" t="s">
        <v>745</v>
      </c>
      <c r="G270" s="18" t="s">
        <v>746</v>
      </c>
      <c r="H270" s="41">
        <v>20260427</v>
      </c>
      <c r="I270" s="15" t="str">
        <f t="shared" si="25"/>
        <v>Albardon</v>
      </c>
      <c r="J270" s="15">
        <f t="shared" si="26"/>
        <v>32.4</v>
      </c>
      <c r="K270" s="15"/>
      <c r="L270" s="20" t="str">
        <f t="shared" si="27"/>
        <v>https://www.google.com/maps/dir/Catamarca+Sur+664,+San+Juan/EEE+Hebe+Arce+Videla+de+Oro,+Albard%C3%B3n,+San+Juan/Catamarca+Sur+664,+San+Juan/@-31.4945163,-68.601825,19759m/data=!3m2!1e3!4b1!4m20!4m19!1m5!1m1!1s0x9681402690dd76eb:0x4b283f8fe10ce3f3!2m2!1d-68.5293761!2d-31.5426363!1m5!1m1!1s0x9681428225fd7e8d:0x2a87aecc7fdc8ff2!2m2!1d-68.5270329!2d-31.4343681!1m5!1m1!1s0x9681402690dd76eb:0x4b283f8fe10ce3f3!2m2!1d-68.5293761!2d-31.5426363!3e0?entry=ttu&amp;g_ep=EgoyMDI1MDgxMy4wIKXMDSoASAFQAw%3D%3D</v>
      </c>
      <c r="M270" s="21" t="str">
        <f t="shared" si="23"/>
        <v>https://webagentes.canaldirecto.com.ar/incidents/view/831014-3</v>
      </c>
      <c r="N270" s="21" t="str">
        <f t="shared" si="24"/>
        <v>https://webagentes.canaldirecto.com.ar/incidents/view/831014-3</v>
      </c>
      <c r="O270" s="21"/>
      <c r="P270" s="22"/>
    </row>
    <row r="271" spans="1:16" s="23" customFormat="1" ht="21" customHeight="1" thickBot="1" x14ac:dyDescent="0.25">
      <c r="A271" s="24">
        <v>3</v>
      </c>
      <c r="B271" s="25" t="s">
        <v>747</v>
      </c>
      <c r="C271" s="18" t="s">
        <v>19</v>
      </c>
      <c r="D271" s="18" t="s">
        <v>20</v>
      </c>
      <c r="E271" s="18" t="s">
        <v>27</v>
      </c>
      <c r="F271" s="18" t="s">
        <v>164</v>
      </c>
      <c r="G271" s="18" t="s">
        <v>165</v>
      </c>
      <c r="H271" s="41">
        <v>20260427</v>
      </c>
      <c r="I271" s="15" t="str">
        <f t="shared" si="25"/>
        <v>RAWSON</v>
      </c>
      <c r="J271" s="15">
        <f t="shared" si="26"/>
        <v>11.4</v>
      </c>
      <c r="K271" s="15"/>
      <c r="L271" s="20" t="str">
        <f t="shared" si="27"/>
        <v>https://www.google.com/maps/dir/Catamarca+Sur+664,+San+Juan/Escuela+San+Juan+Eudes,+Bah%C3%ADa+Blanca+Sur,+J5425+Villa+Krause,+San+Juan/Catamarca+Sur+664,+San+Juan/@-31.5558264,-68.5657451,4937m/data=!3m1!1e3!4m20!4m19!1m5!1m1!1s0x9681402690dd76eb:0x4b283f8fe10ce3f3!2m2!1d-68.5293623!2d-31.542635!1m5!1m1!1s0x9681412b2e33eae9:0xe137e7c260821fa4!2m2!1d-68.5622502!2d-31.5631841!1m5!1m1!1s0x9681402690dd76eb:0x4b283f8fe10ce3f3!2m2!1d-68.5293623!2d-31.542635!3e0?hl=es&amp;entry=ttu&amp;g_ep=EgoyMDI1MDgxOS4wIKXMDSoASAFQAw%3D%3D</v>
      </c>
      <c r="M271" s="21" t="str">
        <f t="shared" si="23"/>
        <v>https://webagentes.canaldirecto.com.ar/incidents/view/830730-7</v>
      </c>
      <c r="N271" s="21" t="str">
        <f t="shared" si="24"/>
        <v>https://webagentes.canaldirecto.com.ar/incidents/view/830730-7</v>
      </c>
      <c r="O271" s="21"/>
      <c r="P271" s="22"/>
    </row>
    <row r="272" spans="1:16" s="23" customFormat="1" ht="21" customHeight="1" thickBot="1" x14ac:dyDescent="0.25">
      <c r="A272" s="24">
        <v>3</v>
      </c>
      <c r="B272" s="25" t="s">
        <v>748</v>
      </c>
      <c r="C272" s="18" t="s">
        <v>19</v>
      </c>
      <c r="D272" s="18" t="s">
        <v>36</v>
      </c>
      <c r="E272" s="18" t="s">
        <v>27</v>
      </c>
      <c r="F272" s="18" t="s">
        <v>749</v>
      </c>
      <c r="G272" s="18" t="s">
        <v>750</v>
      </c>
      <c r="H272" s="19">
        <v>20260428</v>
      </c>
      <c r="I272" s="15" t="e">
        <f t="shared" si="25"/>
        <v>#N/A</v>
      </c>
      <c r="J272" s="15" t="e">
        <f t="shared" si="26"/>
        <v>#N/A</v>
      </c>
      <c r="K272" s="15"/>
      <c r="L272" s="20" t="e">
        <f t="shared" si="27"/>
        <v>#N/A</v>
      </c>
      <c r="M272" s="21" t="str">
        <f t="shared" si="23"/>
        <v>https://webagentes.canaldirecto.com.ar/incidents/view/831647-5</v>
      </c>
      <c r="N272" s="21" t="str">
        <f t="shared" si="24"/>
        <v>https://webagentes.canaldirecto.com.ar/incidents/view/831647-5</v>
      </c>
      <c r="O272" s="21"/>
      <c r="P272" s="22"/>
    </row>
    <row r="273" spans="1:16" s="23" customFormat="1" ht="21" customHeight="1" thickBot="1" x14ac:dyDescent="0.25">
      <c r="A273" s="24">
        <v>3</v>
      </c>
      <c r="B273" s="25" t="s">
        <v>751</v>
      </c>
      <c r="C273" s="18" t="s">
        <v>19</v>
      </c>
      <c r="D273" s="18" t="s">
        <v>36</v>
      </c>
      <c r="E273" s="18" t="s">
        <v>27</v>
      </c>
      <c r="F273" s="18" t="s">
        <v>749</v>
      </c>
      <c r="G273" s="18" t="s">
        <v>752</v>
      </c>
      <c r="H273" s="19">
        <v>20260428</v>
      </c>
      <c r="I273" s="15" t="e">
        <f t="shared" si="25"/>
        <v>#N/A</v>
      </c>
      <c r="J273" s="15" t="e">
        <f t="shared" si="26"/>
        <v>#N/A</v>
      </c>
      <c r="K273" s="15"/>
      <c r="L273" s="20" t="e">
        <f t="shared" si="27"/>
        <v>#N/A</v>
      </c>
      <c r="M273" s="21" t="str">
        <f t="shared" si="23"/>
        <v>https://webagentes.canaldirecto.com.ar/incidents/view/831646-6</v>
      </c>
      <c r="N273" s="21" t="str">
        <f t="shared" si="24"/>
        <v>https://webagentes.canaldirecto.com.ar/incidents/view/831646-6</v>
      </c>
      <c r="O273" s="21"/>
      <c r="P273" s="22"/>
    </row>
    <row r="274" spans="1:16" s="23" customFormat="1" ht="21" customHeight="1" thickBot="1" x14ac:dyDescent="0.25">
      <c r="A274" s="24">
        <v>3</v>
      </c>
      <c r="B274" s="25" t="s">
        <v>753</v>
      </c>
      <c r="C274" s="18" t="s">
        <v>19</v>
      </c>
      <c r="D274" s="18" t="s">
        <v>36</v>
      </c>
      <c r="E274" s="18" t="s">
        <v>27</v>
      </c>
      <c r="F274" s="18" t="s">
        <v>754</v>
      </c>
      <c r="G274" s="18" t="s">
        <v>755</v>
      </c>
      <c r="H274" s="19">
        <v>20260428</v>
      </c>
      <c r="I274" s="15" t="e">
        <f t="shared" si="25"/>
        <v>#N/A</v>
      </c>
      <c r="J274" s="15" t="e">
        <f t="shared" si="26"/>
        <v>#N/A</v>
      </c>
      <c r="K274" s="15"/>
      <c r="L274" s="20" t="e">
        <f t="shared" si="27"/>
        <v>#N/A</v>
      </c>
      <c r="M274" s="21" t="str">
        <f t="shared" si="23"/>
        <v>https://webagentes.canaldirecto.com.ar/incidents/view/831645-7</v>
      </c>
      <c r="N274" s="21" t="str">
        <f t="shared" si="24"/>
        <v>https://webagentes.canaldirecto.com.ar/incidents/view/831645-7</v>
      </c>
      <c r="O274" s="21"/>
      <c r="P274" s="22"/>
    </row>
    <row r="275" spans="1:16" s="23" customFormat="1" ht="21" customHeight="1" thickBot="1" x14ac:dyDescent="0.25">
      <c r="A275" s="24">
        <v>3</v>
      </c>
      <c r="B275" s="25" t="s">
        <v>756</v>
      </c>
      <c r="C275" s="18" t="s">
        <v>19</v>
      </c>
      <c r="D275" s="18" t="s">
        <v>36</v>
      </c>
      <c r="E275" s="18" t="s">
        <v>27</v>
      </c>
      <c r="F275" s="18" t="s">
        <v>757</v>
      </c>
      <c r="G275" s="18" t="s">
        <v>758</v>
      </c>
      <c r="H275" s="19">
        <v>20260428</v>
      </c>
      <c r="I275" s="15" t="e">
        <f t="shared" si="25"/>
        <v>#N/A</v>
      </c>
      <c r="J275" s="15" t="e">
        <f t="shared" si="26"/>
        <v>#N/A</v>
      </c>
      <c r="K275" s="15"/>
      <c r="L275" s="20" t="e">
        <f t="shared" si="27"/>
        <v>#N/A</v>
      </c>
      <c r="M275" s="21" t="str">
        <f t="shared" si="23"/>
        <v>https://webagentes.canaldirecto.com.ar/incidents/view/831644-8</v>
      </c>
      <c r="N275" s="21" t="str">
        <f t="shared" si="24"/>
        <v>https://webagentes.canaldirecto.com.ar/incidents/view/831644-8</v>
      </c>
      <c r="O275" s="21"/>
      <c r="P275" s="22"/>
    </row>
    <row r="276" spans="1:16" s="23" customFormat="1" ht="21" customHeight="1" thickBot="1" x14ac:dyDescent="0.25">
      <c r="A276" s="24">
        <v>3</v>
      </c>
      <c r="B276" s="25" t="s">
        <v>759</v>
      </c>
      <c r="C276" s="18" t="s">
        <v>19</v>
      </c>
      <c r="D276" s="18" t="s">
        <v>36</v>
      </c>
      <c r="E276" s="18" t="s">
        <v>27</v>
      </c>
      <c r="F276" s="18" t="s">
        <v>757</v>
      </c>
      <c r="G276" s="18" t="s">
        <v>760</v>
      </c>
      <c r="H276" s="19">
        <v>20260428</v>
      </c>
      <c r="I276" s="15" t="e">
        <f t="shared" si="25"/>
        <v>#N/A</v>
      </c>
      <c r="J276" s="15" t="e">
        <f t="shared" si="26"/>
        <v>#N/A</v>
      </c>
      <c r="K276" s="15"/>
      <c r="L276" s="20" t="e">
        <f t="shared" si="27"/>
        <v>#N/A</v>
      </c>
      <c r="M276" s="21" t="str">
        <f t="shared" si="23"/>
        <v>https://webagentes.canaldirecto.com.ar/incidents/view/831643-9</v>
      </c>
      <c r="N276" s="21" t="str">
        <f t="shared" si="24"/>
        <v>https://webagentes.canaldirecto.com.ar/incidents/view/831643-9</v>
      </c>
      <c r="O276" s="21"/>
      <c r="P276" s="22"/>
    </row>
    <row r="277" spans="1:16" s="23" customFormat="1" ht="21" customHeight="1" thickBot="1" x14ac:dyDescent="0.25">
      <c r="A277" s="24">
        <v>3</v>
      </c>
      <c r="B277" s="25" t="s">
        <v>761</v>
      </c>
      <c r="C277" s="18" t="s">
        <v>19</v>
      </c>
      <c r="D277" s="18" t="s">
        <v>36</v>
      </c>
      <c r="E277" s="18" t="s">
        <v>27</v>
      </c>
      <c r="F277" s="18" t="s">
        <v>762</v>
      </c>
      <c r="G277" s="18" t="s">
        <v>763</v>
      </c>
      <c r="H277" s="19">
        <v>20260428</v>
      </c>
      <c r="I277" s="15" t="e">
        <f t="shared" si="25"/>
        <v>#N/A</v>
      </c>
      <c r="J277" s="15" t="e">
        <f t="shared" si="26"/>
        <v>#N/A</v>
      </c>
      <c r="K277" s="15"/>
      <c r="L277" s="20" t="e">
        <f t="shared" si="27"/>
        <v>#N/A</v>
      </c>
      <c r="M277" s="21" t="str">
        <f t="shared" si="23"/>
        <v>https://webagentes.canaldirecto.com.ar/incidents/view/831642-0</v>
      </c>
      <c r="N277" s="21" t="str">
        <f t="shared" si="24"/>
        <v>https://webagentes.canaldirecto.com.ar/incidents/view/831642-0</v>
      </c>
      <c r="O277" s="21"/>
      <c r="P277" s="22"/>
    </row>
    <row r="278" spans="1:16" s="23" customFormat="1" ht="21" customHeight="1" thickBot="1" x14ac:dyDescent="0.25">
      <c r="A278" s="16">
        <v>2</v>
      </c>
      <c r="B278" s="17" t="s">
        <v>764</v>
      </c>
      <c r="C278" s="18" t="s">
        <v>19</v>
      </c>
      <c r="D278" s="18" t="s">
        <v>36</v>
      </c>
      <c r="E278" s="18" t="s">
        <v>27</v>
      </c>
      <c r="F278" s="18" t="s">
        <v>765</v>
      </c>
      <c r="G278" s="18" t="s">
        <v>766</v>
      </c>
      <c r="H278" s="19">
        <v>20260428</v>
      </c>
      <c r="I278" s="15" t="e">
        <f t="shared" si="25"/>
        <v>#N/A</v>
      </c>
      <c r="J278" s="15" t="e">
        <f t="shared" si="26"/>
        <v>#N/A</v>
      </c>
      <c r="K278" s="15"/>
      <c r="L278" s="20" t="e">
        <f t="shared" si="27"/>
        <v>#N/A</v>
      </c>
      <c r="M278" s="21" t="str">
        <f t="shared" si="23"/>
        <v>https://webagentes.canaldirecto.com.ar/incidents/view/831641-1</v>
      </c>
      <c r="N278" s="21" t="str">
        <f t="shared" si="24"/>
        <v>https://webagentes.canaldirecto.com.ar/incidents/view/831641-1</v>
      </c>
      <c r="O278" s="21"/>
      <c r="P278" s="22"/>
    </row>
    <row r="279" spans="1:16" s="23" customFormat="1" ht="21" customHeight="1" thickBot="1" x14ac:dyDescent="0.25">
      <c r="A279" s="16">
        <v>2</v>
      </c>
      <c r="B279" s="17" t="s">
        <v>767</v>
      </c>
      <c r="C279" s="18" t="s">
        <v>19</v>
      </c>
      <c r="D279" s="18" t="s">
        <v>36</v>
      </c>
      <c r="E279" s="18" t="s">
        <v>27</v>
      </c>
      <c r="F279" s="18" t="s">
        <v>149</v>
      </c>
      <c r="G279" s="18" t="s">
        <v>768</v>
      </c>
      <c r="H279" s="19">
        <v>20260428</v>
      </c>
      <c r="I279" s="15" t="e">
        <f t="shared" si="25"/>
        <v>#N/A</v>
      </c>
      <c r="J279" s="15" t="e">
        <f t="shared" si="26"/>
        <v>#N/A</v>
      </c>
      <c r="K279" s="15"/>
      <c r="L279" s="20" t="e">
        <f t="shared" si="27"/>
        <v>#N/A</v>
      </c>
      <c r="M279" s="21" t="str">
        <f t="shared" si="23"/>
        <v>https://webagentes.canaldirecto.com.ar/incidents/view/831640-2</v>
      </c>
      <c r="N279" s="21" t="str">
        <f t="shared" si="24"/>
        <v>https://webagentes.canaldirecto.com.ar/incidents/view/831640-2</v>
      </c>
      <c r="O279" s="21"/>
      <c r="P279" s="22"/>
    </row>
    <row r="280" spans="1:16" s="23" customFormat="1" ht="21" customHeight="1" thickBot="1" x14ac:dyDescent="0.25">
      <c r="A280" s="16">
        <v>2</v>
      </c>
      <c r="B280" s="17" t="s">
        <v>769</v>
      </c>
      <c r="C280" s="18" t="s">
        <v>19</v>
      </c>
      <c r="D280" s="18" t="s">
        <v>36</v>
      </c>
      <c r="E280" s="18" t="s">
        <v>27</v>
      </c>
      <c r="F280" s="18" t="s">
        <v>149</v>
      </c>
      <c r="G280" s="18" t="s">
        <v>770</v>
      </c>
      <c r="H280" s="19">
        <v>20260428</v>
      </c>
      <c r="I280" s="15" t="e">
        <f t="shared" si="25"/>
        <v>#N/A</v>
      </c>
      <c r="J280" s="15" t="e">
        <f t="shared" si="26"/>
        <v>#N/A</v>
      </c>
      <c r="K280" s="15"/>
      <c r="L280" s="20" t="e">
        <f t="shared" si="27"/>
        <v>#N/A</v>
      </c>
      <c r="M280" s="21" t="str">
        <f t="shared" si="23"/>
        <v>https://webagentes.canaldirecto.com.ar/incidents/view/831639-6</v>
      </c>
      <c r="N280" s="21" t="str">
        <f t="shared" si="24"/>
        <v>https://webagentes.canaldirecto.com.ar/incidents/view/831639-6</v>
      </c>
      <c r="O280" s="21"/>
      <c r="P280" s="22"/>
    </row>
    <row r="281" spans="1:16" s="23" customFormat="1" ht="21" customHeight="1" thickBot="1" x14ac:dyDescent="0.25">
      <c r="A281" s="16">
        <v>2</v>
      </c>
      <c r="B281" s="17" t="s">
        <v>771</v>
      </c>
      <c r="C281" s="18" t="s">
        <v>19</v>
      </c>
      <c r="D281" s="18" t="s">
        <v>36</v>
      </c>
      <c r="E281" s="18" t="s">
        <v>27</v>
      </c>
      <c r="F281" s="18" t="s">
        <v>149</v>
      </c>
      <c r="G281" s="18" t="s">
        <v>772</v>
      </c>
      <c r="H281" s="19">
        <v>20260428</v>
      </c>
      <c r="I281" s="15" t="str">
        <f t="shared" si="25"/>
        <v>Capital</v>
      </c>
      <c r="J281" s="15">
        <f t="shared" si="26"/>
        <v>7.2</v>
      </c>
      <c r="K281" s="15"/>
      <c r="L281" s="20" t="str">
        <f t="shared" si="27"/>
        <v>https://www.google.com/maps/dir/Catamarca+Sur+664,+San+Juan/Dep%C3%B3sito+Central+Ministerio+de+Educaci%C3%B3n,+9+de+Julio+Este+1511,+J5411+Santa+Luc%C3%ADa,+San+Juan/Catamarca+Sur+664,+San+Juan/@-31.5475857,-68.5278046,2468m/data=!3m2!1e3!4b1!4m20!4m19!1m5!1m1!1s0x9681402690dd76eb:0x4b283f8fe10ce3f3!2m2!1d-68.5293761!2d-31.5426363!1m5!1m1!1s0x96816b6d54be3e89:0xf587aeb875b61e06!2m2!1d-68.5049362!2d-31.541596!1m5!1m1!1s0x9681402690dd76eb:0x4b283f8fe10ce3f3!2m2!1d-68.5293761!2d-31.5426363!3e0?entry=ttu&amp;g_ep=EgoyMDI1MDgxMy4wIKXMDSoASAFQAw%3D%3D</v>
      </c>
      <c r="M281" s="21" t="str">
        <f t="shared" si="23"/>
        <v>https://webagentes.canaldirecto.com.ar/incidents/view/831638-7</v>
      </c>
      <c r="N281" s="21" t="str">
        <f t="shared" si="24"/>
        <v>https://webagentes.canaldirecto.com.ar/incidents/view/831638-7</v>
      </c>
      <c r="O281" s="21"/>
      <c r="P281" s="22"/>
    </row>
    <row r="282" spans="1:16" s="23" customFormat="1" ht="21" customHeight="1" thickBot="1" x14ac:dyDescent="0.25">
      <c r="A282" s="24">
        <v>3</v>
      </c>
      <c r="B282" s="25" t="s">
        <v>773</v>
      </c>
      <c r="C282" s="18" t="s">
        <v>19</v>
      </c>
      <c r="D282" s="18" t="s">
        <v>26</v>
      </c>
      <c r="E282" s="18" t="s">
        <v>27</v>
      </c>
      <c r="F282" s="18" t="s">
        <v>774</v>
      </c>
      <c r="G282" s="18" t="s">
        <v>775</v>
      </c>
      <c r="H282" s="19">
        <v>20260428</v>
      </c>
      <c r="I282" s="15" t="str">
        <f t="shared" si="25"/>
        <v>Capital</v>
      </c>
      <c r="J282" s="15">
        <f t="shared" si="26"/>
        <v>0</v>
      </c>
      <c r="K282" s="15"/>
      <c r="L282" s="20">
        <f t="shared" si="27"/>
        <v>0</v>
      </c>
      <c r="M282" s="21" t="str">
        <f t="shared" si="23"/>
        <v>https://webagentes.canaldirecto.com.ar/incidents/view/831637-8</v>
      </c>
      <c r="N282" s="21" t="str">
        <f t="shared" si="24"/>
        <v>https://webagentes.canaldirecto.com.ar/incidents/view/831637-8</v>
      </c>
      <c r="O282" s="21"/>
      <c r="P282" s="22"/>
    </row>
    <row r="283" spans="1:16" s="23" customFormat="1" ht="21" customHeight="1" thickBot="1" x14ac:dyDescent="0.25">
      <c r="A283" s="28">
        <v>1</v>
      </c>
      <c r="B283" s="29" t="s">
        <v>776</v>
      </c>
      <c r="C283" s="18" t="s">
        <v>19</v>
      </c>
      <c r="D283" s="18" t="s">
        <v>36</v>
      </c>
      <c r="E283" s="18" t="s">
        <v>27</v>
      </c>
      <c r="F283" s="18" t="s">
        <v>777</v>
      </c>
      <c r="G283" s="18" t="s">
        <v>778</v>
      </c>
      <c r="H283" s="19">
        <v>20260428</v>
      </c>
      <c r="I283" s="15" t="e">
        <f t="shared" si="25"/>
        <v>#N/A</v>
      </c>
      <c r="J283" s="15" t="e">
        <f t="shared" si="26"/>
        <v>#N/A</v>
      </c>
      <c r="K283" s="15"/>
      <c r="L283" s="20" t="e">
        <f t="shared" si="27"/>
        <v>#N/A</v>
      </c>
      <c r="M283" s="21" t="str">
        <f t="shared" si="23"/>
        <v>https://webagentes.canaldirecto.com.ar/incidents/view/831636-9</v>
      </c>
      <c r="N283" s="21" t="str">
        <f t="shared" si="24"/>
        <v>https://webagentes.canaldirecto.com.ar/incidents/view/831636-9</v>
      </c>
      <c r="O283" s="21"/>
      <c r="P283" s="22"/>
    </row>
    <row r="284" spans="1:16" s="23" customFormat="1" ht="21" customHeight="1" thickBot="1" x14ac:dyDescent="0.25">
      <c r="A284" s="28">
        <v>1</v>
      </c>
      <c r="B284" s="29" t="s">
        <v>779</v>
      </c>
      <c r="C284" s="18" t="s">
        <v>19</v>
      </c>
      <c r="D284" s="18" t="s">
        <v>36</v>
      </c>
      <c r="E284" s="18" t="s">
        <v>27</v>
      </c>
      <c r="F284" s="18" t="s">
        <v>777</v>
      </c>
      <c r="G284" s="18" t="s">
        <v>780</v>
      </c>
      <c r="H284" s="19">
        <v>20260428</v>
      </c>
      <c r="I284" s="15" t="e">
        <f t="shared" si="25"/>
        <v>#N/A</v>
      </c>
      <c r="J284" s="15" t="e">
        <f t="shared" si="26"/>
        <v>#N/A</v>
      </c>
      <c r="K284" s="15"/>
      <c r="L284" s="20" t="e">
        <f t="shared" si="27"/>
        <v>#N/A</v>
      </c>
      <c r="M284" s="21" t="str">
        <f t="shared" si="23"/>
        <v>https://webagentes.canaldirecto.com.ar/incidents/view/831635-0</v>
      </c>
      <c r="N284" s="21" t="str">
        <f t="shared" si="24"/>
        <v>https://webagentes.canaldirecto.com.ar/incidents/view/831635-0</v>
      </c>
      <c r="O284" s="21"/>
      <c r="P284" s="22"/>
    </row>
    <row r="285" spans="1:16" s="23" customFormat="1" ht="21" customHeight="1" thickBot="1" x14ac:dyDescent="0.25">
      <c r="A285" s="28">
        <v>1</v>
      </c>
      <c r="B285" s="29" t="s">
        <v>781</v>
      </c>
      <c r="C285" s="18" t="s">
        <v>19</v>
      </c>
      <c r="D285" s="18" t="s">
        <v>36</v>
      </c>
      <c r="E285" s="18" t="s">
        <v>27</v>
      </c>
      <c r="F285" s="18" t="s">
        <v>777</v>
      </c>
      <c r="G285" s="18" t="s">
        <v>782</v>
      </c>
      <c r="H285" s="19">
        <v>20260428</v>
      </c>
      <c r="I285" s="15" t="str">
        <f t="shared" si="25"/>
        <v>Capital</v>
      </c>
      <c r="J285" s="15">
        <f t="shared" si="26"/>
        <v>0</v>
      </c>
      <c r="K285" s="15"/>
      <c r="L285" s="20">
        <f t="shared" si="27"/>
        <v>0</v>
      </c>
      <c r="M285" s="21" t="str">
        <f t="shared" si="23"/>
        <v>https://webagentes.canaldirecto.com.ar/incidents/view/831634-1</v>
      </c>
      <c r="N285" s="21" t="str">
        <f t="shared" si="24"/>
        <v>https://webagentes.canaldirecto.com.ar/incidents/view/831634-1</v>
      </c>
      <c r="O285" s="21"/>
      <c r="P285" s="22"/>
    </row>
    <row r="286" spans="1:16" s="23" customFormat="1" ht="21" customHeight="1" thickBot="1" x14ac:dyDescent="0.25">
      <c r="A286" s="28">
        <v>1</v>
      </c>
      <c r="B286" s="29" t="s">
        <v>783</v>
      </c>
      <c r="C286" s="18" t="s">
        <v>19</v>
      </c>
      <c r="D286" s="18" t="s">
        <v>36</v>
      </c>
      <c r="E286" s="18" t="s">
        <v>27</v>
      </c>
      <c r="F286" s="18" t="s">
        <v>777</v>
      </c>
      <c r="G286" s="18" t="s">
        <v>784</v>
      </c>
      <c r="H286" s="19">
        <v>20260428</v>
      </c>
      <c r="I286" s="15" t="e">
        <f t="shared" si="25"/>
        <v>#N/A</v>
      </c>
      <c r="J286" s="15" t="e">
        <f t="shared" si="26"/>
        <v>#N/A</v>
      </c>
      <c r="K286" s="15"/>
      <c r="L286" s="20" t="e">
        <f t="shared" si="27"/>
        <v>#N/A</v>
      </c>
      <c r="M286" s="21" t="str">
        <f t="shared" si="23"/>
        <v>https://webagentes.canaldirecto.com.ar/incidents/view/831633-2</v>
      </c>
      <c r="N286" s="21" t="str">
        <f t="shared" si="24"/>
        <v>https://webagentes.canaldirecto.com.ar/incidents/view/831633-2</v>
      </c>
      <c r="O286" s="21"/>
      <c r="P286" s="22"/>
    </row>
    <row r="287" spans="1:16" s="23" customFormat="1" ht="21" customHeight="1" thickBot="1" x14ac:dyDescent="0.25">
      <c r="A287" s="28">
        <v>1</v>
      </c>
      <c r="B287" s="29" t="s">
        <v>785</v>
      </c>
      <c r="C287" s="18" t="s">
        <v>19</v>
      </c>
      <c r="D287" s="18" t="s">
        <v>36</v>
      </c>
      <c r="E287" s="18" t="s">
        <v>27</v>
      </c>
      <c r="F287" s="18" t="s">
        <v>777</v>
      </c>
      <c r="G287" s="18" t="s">
        <v>786</v>
      </c>
      <c r="H287" s="19">
        <v>20260428</v>
      </c>
      <c r="I287" s="15" t="e">
        <f t="shared" si="25"/>
        <v>#N/A</v>
      </c>
      <c r="J287" s="15" t="e">
        <f t="shared" si="26"/>
        <v>#N/A</v>
      </c>
      <c r="K287" s="15"/>
      <c r="L287" s="20" t="e">
        <f t="shared" ref="L287:L342" si="28">VLOOKUP(G287,DIOS,4,FALSE)</f>
        <v>#N/A</v>
      </c>
      <c r="M287" s="21" t="str">
        <f t="shared" si="23"/>
        <v>https://webagentes.canaldirecto.com.ar/incidents/view/831632-3</v>
      </c>
      <c r="N287" s="21" t="str">
        <f t="shared" si="24"/>
        <v>https://webagentes.canaldirecto.com.ar/incidents/view/831632-3</v>
      </c>
      <c r="O287" s="21"/>
      <c r="P287" s="22"/>
    </row>
    <row r="288" spans="1:16" s="23" customFormat="1" ht="21" customHeight="1" thickBot="1" x14ac:dyDescent="0.25">
      <c r="A288" s="28">
        <v>1</v>
      </c>
      <c r="B288" s="29" t="s">
        <v>787</v>
      </c>
      <c r="C288" s="18" t="s">
        <v>19</v>
      </c>
      <c r="D288" s="18" t="s">
        <v>36</v>
      </c>
      <c r="E288" s="18" t="s">
        <v>27</v>
      </c>
      <c r="F288" s="18" t="s">
        <v>777</v>
      </c>
      <c r="G288" s="18" t="s">
        <v>788</v>
      </c>
      <c r="H288" s="19">
        <v>20260428</v>
      </c>
      <c r="I288" s="15" t="e">
        <f t="shared" si="25"/>
        <v>#N/A</v>
      </c>
      <c r="J288" s="15" t="e">
        <f t="shared" si="26"/>
        <v>#N/A</v>
      </c>
      <c r="K288" s="15"/>
      <c r="L288" s="20" t="e">
        <f t="shared" si="28"/>
        <v>#N/A</v>
      </c>
      <c r="M288" s="21" t="str">
        <f t="shared" si="23"/>
        <v>https://webagentes.canaldirecto.com.ar/incidents/view/831631-4</v>
      </c>
      <c r="N288" s="21" t="str">
        <f t="shared" si="24"/>
        <v>https://webagentes.canaldirecto.com.ar/incidents/view/831631-4</v>
      </c>
      <c r="O288" s="21"/>
      <c r="P288" s="22"/>
    </row>
    <row r="289" spans="1:16" s="23" customFormat="1" ht="21" customHeight="1" thickBot="1" x14ac:dyDescent="0.25">
      <c r="A289" s="28">
        <v>1</v>
      </c>
      <c r="B289" s="29" t="s">
        <v>789</v>
      </c>
      <c r="C289" s="18" t="s">
        <v>19</v>
      </c>
      <c r="D289" s="18" t="s">
        <v>36</v>
      </c>
      <c r="E289" s="18" t="s">
        <v>27</v>
      </c>
      <c r="F289" s="18" t="s">
        <v>777</v>
      </c>
      <c r="G289" s="18" t="s">
        <v>790</v>
      </c>
      <c r="H289" s="19">
        <v>20260428</v>
      </c>
      <c r="I289" s="15" t="e">
        <f t="shared" si="25"/>
        <v>#N/A</v>
      </c>
      <c r="J289" s="15" t="e">
        <f t="shared" si="26"/>
        <v>#N/A</v>
      </c>
      <c r="K289" s="15"/>
      <c r="L289" s="20" t="e">
        <f t="shared" si="28"/>
        <v>#N/A</v>
      </c>
      <c r="M289" s="21" t="str">
        <f t="shared" si="23"/>
        <v>https://webagentes.canaldirecto.com.ar/incidents/view/831630-5</v>
      </c>
      <c r="N289" s="21" t="str">
        <f t="shared" si="24"/>
        <v>https://webagentes.canaldirecto.com.ar/incidents/view/831630-5</v>
      </c>
      <c r="O289" s="21"/>
      <c r="P289" s="22"/>
    </row>
    <row r="290" spans="1:16" s="23" customFormat="1" ht="21" customHeight="1" thickBot="1" x14ac:dyDescent="0.25">
      <c r="A290" s="28">
        <v>1</v>
      </c>
      <c r="B290" s="29" t="s">
        <v>791</v>
      </c>
      <c r="C290" s="18" t="s">
        <v>19</v>
      </c>
      <c r="D290" s="18" t="s">
        <v>36</v>
      </c>
      <c r="E290" s="18" t="s">
        <v>27</v>
      </c>
      <c r="F290" s="18" t="s">
        <v>792</v>
      </c>
      <c r="G290" s="18" t="s">
        <v>793</v>
      </c>
      <c r="H290" s="19">
        <v>20260428</v>
      </c>
      <c r="I290" s="15" t="e">
        <f t="shared" si="25"/>
        <v>#N/A</v>
      </c>
      <c r="J290" s="15" t="e">
        <f t="shared" si="26"/>
        <v>#N/A</v>
      </c>
      <c r="K290" s="15"/>
      <c r="L290" s="20" t="e">
        <f t="shared" si="28"/>
        <v>#N/A</v>
      </c>
      <c r="M290" s="21" t="str">
        <f t="shared" si="23"/>
        <v>https://webagentes.canaldirecto.com.ar/incidents/view/831629-9</v>
      </c>
      <c r="N290" s="21" t="str">
        <f t="shared" si="24"/>
        <v>https://webagentes.canaldirecto.com.ar/incidents/view/831629-9</v>
      </c>
      <c r="O290" s="21"/>
      <c r="P290" s="22"/>
    </row>
    <row r="291" spans="1:16" s="23" customFormat="1" ht="21" customHeight="1" thickBot="1" x14ac:dyDescent="0.25">
      <c r="A291" s="28">
        <v>1</v>
      </c>
      <c r="B291" s="29" t="s">
        <v>794</v>
      </c>
      <c r="C291" s="18" t="s">
        <v>19</v>
      </c>
      <c r="D291" s="18" t="s">
        <v>36</v>
      </c>
      <c r="E291" s="18" t="s">
        <v>27</v>
      </c>
      <c r="F291" s="18" t="s">
        <v>792</v>
      </c>
      <c r="G291" s="18" t="s">
        <v>795</v>
      </c>
      <c r="H291" s="19">
        <v>20260428</v>
      </c>
      <c r="I291" s="15" t="e">
        <f t="shared" si="25"/>
        <v>#N/A</v>
      </c>
      <c r="J291" s="15" t="e">
        <f t="shared" si="26"/>
        <v>#N/A</v>
      </c>
      <c r="K291" s="15"/>
      <c r="L291" s="20" t="e">
        <f t="shared" si="28"/>
        <v>#N/A</v>
      </c>
      <c r="M291" s="21" t="str">
        <f t="shared" si="23"/>
        <v>https://webagentes.canaldirecto.com.ar/incidents/view/831628-0</v>
      </c>
      <c r="N291" s="21" t="str">
        <f t="shared" si="24"/>
        <v>https://webagentes.canaldirecto.com.ar/incidents/view/831628-0</v>
      </c>
      <c r="O291" s="21"/>
      <c r="P291" s="22"/>
    </row>
    <row r="292" spans="1:16" s="23" customFormat="1" ht="21" customHeight="1" thickBot="1" x14ac:dyDescent="0.25">
      <c r="A292" s="28">
        <v>1</v>
      </c>
      <c r="B292" s="29" t="s">
        <v>796</v>
      </c>
      <c r="C292" s="18" t="s">
        <v>19</v>
      </c>
      <c r="D292" s="18" t="s">
        <v>36</v>
      </c>
      <c r="E292" s="18" t="s">
        <v>27</v>
      </c>
      <c r="F292" s="18" t="s">
        <v>792</v>
      </c>
      <c r="G292" s="18" t="s">
        <v>797</v>
      </c>
      <c r="H292" s="19">
        <v>20260428</v>
      </c>
      <c r="I292" s="15" t="e">
        <f t="shared" si="25"/>
        <v>#N/A</v>
      </c>
      <c r="J292" s="15" t="e">
        <f t="shared" si="26"/>
        <v>#N/A</v>
      </c>
      <c r="K292" s="15"/>
      <c r="L292" s="20" t="e">
        <f t="shared" si="28"/>
        <v>#N/A</v>
      </c>
      <c r="M292" s="21" t="str">
        <f t="shared" si="23"/>
        <v>https://webagentes.canaldirecto.com.ar/incidents/view/831627-1</v>
      </c>
      <c r="N292" s="21" t="str">
        <f t="shared" si="24"/>
        <v>https://webagentes.canaldirecto.com.ar/incidents/view/831627-1</v>
      </c>
      <c r="O292" s="21"/>
      <c r="P292" s="22"/>
    </row>
    <row r="293" spans="1:16" s="23" customFormat="1" ht="21" customHeight="1" thickBot="1" x14ac:dyDescent="0.25">
      <c r="A293" s="28">
        <v>1</v>
      </c>
      <c r="B293" s="29" t="s">
        <v>798</v>
      </c>
      <c r="C293" s="18" t="s">
        <v>19</v>
      </c>
      <c r="D293" s="18" t="s">
        <v>36</v>
      </c>
      <c r="E293" s="18" t="s">
        <v>27</v>
      </c>
      <c r="F293" s="18" t="s">
        <v>158</v>
      </c>
      <c r="G293" s="18" t="s">
        <v>799</v>
      </c>
      <c r="H293" s="19">
        <v>20260428</v>
      </c>
      <c r="I293" s="15" t="e">
        <f t="shared" si="25"/>
        <v>#N/A</v>
      </c>
      <c r="J293" s="15" t="e">
        <f t="shared" si="26"/>
        <v>#N/A</v>
      </c>
      <c r="K293" s="15"/>
      <c r="L293" s="20" t="e">
        <f t="shared" si="28"/>
        <v>#N/A</v>
      </c>
      <c r="M293" s="21" t="str">
        <f t="shared" si="23"/>
        <v>https://webagentes.canaldirecto.com.ar/incidents/view/831626-2</v>
      </c>
      <c r="N293" s="21" t="str">
        <f t="shared" si="24"/>
        <v>https://webagentes.canaldirecto.com.ar/incidents/view/831626-2</v>
      </c>
      <c r="O293" s="21"/>
      <c r="P293" s="22"/>
    </row>
    <row r="294" spans="1:16" s="23" customFormat="1" ht="21" customHeight="1" thickBot="1" x14ac:dyDescent="0.25">
      <c r="A294" s="28">
        <v>1</v>
      </c>
      <c r="B294" s="29" t="s">
        <v>800</v>
      </c>
      <c r="C294" s="18" t="s">
        <v>19</v>
      </c>
      <c r="D294" s="18" t="s">
        <v>36</v>
      </c>
      <c r="E294" s="18" t="s">
        <v>27</v>
      </c>
      <c r="F294" s="18" t="s">
        <v>158</v>
      </c>
      <c r="G294" s="18" t="s">
        <v>801</v>
      </c>
      <c r="H294" s="19">
        <v>20260428</v>
      </c>
      <c r="I294" s="15" t="e">
        <f t="shared" si="25"/>
        <v>#N/A</v>
      </c>
      <c r="J294" s="15" t="e">
        <f t="shared" si="26"/>
        <v>#N/A</v>
      </c>
      <c r="K294" s="15"/>
      <c r="L294" s="20" t="e">
        <f t="shared" si="28"/>
        <v>#N/A</v>
      </c>
      <c r="M294" s="21" t="str">
        <f t="shared" si="23"/>
        <v>https://webagentes.canaldirecto.com.ar/incidents/view/831625-3</v>
      </c>
      <c r="N294" s="21" t="str">
        <f t="shared" si="24"/>
        <v>https://webagentes.canaldirecto.com.ar/incidents/view/831625-3</v>
      </c>
      <c r="O294" s="21"/>
      <c r="P294" s="22"/>
    </row>
    <row r="295" spans="1:16" s="23" customFormat="1" ht="21" customHeight="1" thickBot="1" x14ac:dyDescent="0.25">
      <c r="A295" s="28">
        <v>1</v>
      </c>
      <c r="B295" s="29" t="s">
        <v>802</v>
      </c>
      <c r="C295" s="18" t="s">
        <v>19</v>
      </c>
      <c r="D295" s="18" t="s">
        <v>36</v>
      </c>
      <c r="E295" s="18" t="s">
        <v>27</v>
      </c>
      <c r="F295" s="18" t="s">
        <v>158</v>
      </c>
      <c r="G295" s="18" t="s">
        <v>803</v>
      </c>
      <c r="H295" s="19">
        <v>20260428</v>
      </c>
      <c r="I295" s="15" t="e">
        <f t="shared" si="25"/>
        <v>#N/A</v>
      </c>
      <c r="J295" s="15" t="e">
        <f t="shared" si="26"/>
        <v>#N/A</v>
      </c>
      <c r="K295" s="15"/>
      <c r="L295" s="20" t="e">
        <f t="shared" si="28"/>
        <v>#N/A</v>
      </c>
      <c r="M295" s="21" t="str">
        <f t="shared" si="23"/>
        <v>https://webagentes.canaldirecto.com.ar/incidents/view/831624-4</v>
      </c>
      <c r="N295" s="21" t="str">
        <f t="shared" si="24"/>
        <v>https://webagentes.canaldirecto.com.ar/incidents/view/831624-4</v>
      </c>
      <c r="O295" s="21"/>
      <c r="P295" s="22"/>
    </row>
    <row r="296" spans="1:16" s="23" customFormat="1" ht="21" customHeight="1" thickBot="1" x14ac:dyDescent="0.25">
      <c r="A296" s="28">
        <v>1</v>
      </c>
      <c r="B296" s="29" t="s">
        <v>804</v>
      </c>
      <c r="C296" s="18" t="s">
        <v>19</v>
      </c>
      <c r="D296" s="18" t="s">
        <v>36</v>
      </c>
      <c r="E296" s="18" t="s">
        <v>27</v>
      </c>
      <c r="F296" s="18" t="s">
        <v>158</v>
      </c>
      <c r="G296" s="18" t="s">
        <v>805</v>
      </c>
      <c r="H296" s="19">
        <v>20260428</v>
      </c>
      <c r="I296" s="15" t="str">
        <f t="shared" si="25"/>
        <v>Capital</v>
      </c>
      <c r="J296" s="15">
        <f t="shared" si="26"/>
        <v>7</v>
      </c>
      <c r="K296" s="15"/>
      <c r="L296" s="20" t="str">
        <f t="shared" si="28"/>
        <v>https://www.google.com/maps/dir/Catamarca+Sur+664,+San+Juan/Secundaria+9+de+Julio,+Paraguay+Este+825+849,+J5400+San+Juan/@-31.5328021,-68.5332347,2469m/data=!3m2!1e3!4b1!4m14!4m13!1m5!1m1!1s0x9681402690dd76eb:0x4b283f8fe10ce3f3!2m2!1d-68.5293761!2d-31.5426363!1m5!1m1!1s0x96816a7d7aaa4f8b:0xd3ec36d40e10f02f!2m2!1d-68.5151563!2d-31.524651!3e0?entry=ttu&amp;g_ep=EgoyMDI1MDYyOS4wIKXMDSoASAFQAw%3D%3D</v>
      </c>
      <c r="M296" s="21" t="str">
        <f t="shared" si="23"/>
        <v>https://webagentes.canaldirecto.com.ar/incidents/view/831623-5</v>
      </c>
      <c r="N296" s="21" t="str">
        <f t="shared" si="24"/>
        <v>https://webagentes.canaldirecto.com.ar/incidents/view/831623-5</v>
      </c>
      <c r="O296" s="21"/>
      <c r="P296" s="22"/>
    </row>
    <row r="297" spans="1:16" s="23" customFormat="1" ht="21" customHeight="1" thickBot="1" x14ac:dyDescent="0.25">
      <c r="A297" s="28">
        <v>1</v>
      </c>
      <c r="B297" s="29" t="s">
        <v>806</v>
      </c>
      <c r="C297" s="18" t="s">
        <v>19</v>
      </c>
      <c r="D297" s="18" t="s">
        <v>36</v>
      </c>
      <c r="E297" s="18" t="s">
        <v>27</v>
      </c>
      <c r="F297" s="18" t="s">
        <v>158</v>
      </c>
      <c r="G297" s="18" t="s">
        <v>159</v>
      </c>
      <c r="H297" s="19">
        <v>20260428</v>
      </c>
      <c r="I297" s="15" t="e">
        <f t="shared" si="25"/>
        <v>#N/A</v>
      </c>
      <c r="J297" s="15" t="e">
        <f t="shared" si="26"/>
        <v>#N/A</v>
      </c>
      <c r="K297" s="15"/>
      <c r="L297" s="20" t="e">
        <f t="shared" si="28"/>
        <v>#N/A</v>
      </c>
      <c r="M297" s="21" t="str">
        <f t="shared" si="23"/>
        <v>https://webagentes.canaldirecto.com.ar/incidents/view/831622-6</v>
      </c>
      <c r="N297" s="21" t="str">
        <f t="shared" si="24"/>
        <v>https://webagentes.canaldirecto.com.ar/incidents/view/831622-6</v>
      </c>
      <c r="O297" s="21"/>
      <c r="P297" s="22"/>
    </row>
    <row r="298" spans="1:16" s="23" customFormat="1" ht="21" customHeight="1" thickBot="1" x14ac:dyDescent="0.25">
      <c r="A298" s="28">
        <v>1</v>
      </c>
      <c r="B298" s="29" t="s">
        <v>807</v>
      </c>
      <c r="C298" s="18" t="s">
        <v>19</v>
      </c>
      <c r="D298" s="18" t="s">
        <v>36</v>
      </c>
      <c r="E298" s="18" t="s">
        <v>27</v>
      </c>
      <c r="F298" s="18" t="s">
        <v>808</v>
      </c>
      <c r="G298" s="18" t="s">
        <v>809</v>
      </c>
      <c r="H298" s="19">
        <v>20260428</v>
      </c>
      <c r="I298" s="15" t="e">
        <f t="shared" si="25"/>
        <v>#N/A</v>
      </c>
      <c r="J298" s="15" t="e">
        <f t="shared" si="26"/>
        <v>#N/A</v>
      </c>
      <c r="K298" s="15"/>
      <c r="L298" s="20" t="e">
        <f t="shared" si="28"/>
        <v>#N/A</v>
      </c>
      <c r="M298" s="21" t="str">
        <f t="shared" si="23"/>
        <v>https://webagentes.canaldirecto.com.ar/incidents/view/831621-7</v>
      </c>
      <c r="N298" s="21" t="str">
        <f t="shared" si="24"/>
        <v>https://webagentes.canaldirecto.com.ar/incidents/view/831621-7</v>
      </c>
      <c r="O298" s="21"/>
      <c r="P298" s="22"/>
    </row>
    <row r="299" spans="1:16" s="23" customFormat="1" ht="21" customHeight="1" thickBot="1" x14ac:dyDescent="0.25">
      <c r="A299" s="28">
        <v>1</v>
      </c>
      <c r="B299" s="29" t="s">
        <v>810</v>
      </c>
      <c r="C299" s="18" t="s">
        <v>19</v>
      </c>
      <c r="D299" s="18" t="s">
        <v>36</v>
      </c>
      <c r="E299" s="18" t="s">
        <v>27</v>
      </c>
      <c r="F299" s="18" t="s">
        <v>777</v>
      </c>
      <c r="G299" s="18" t="s">
        <v>811</v>
      </c>
      <c r="H299" s="19">
        <v>20260428</v>
      </c>
      <c r="I299" s="15" t="e">
        <f t="shared" si="25"/>
        <v>#N/A</v>
      </c>
      <c r="J299" s="15" t="e">
        <f t="shared" si="26"/>
        <v>#N/A</v>
      </c>
      <c r="K299" s="15"/>
      <c r="L299" s="20" t="e">
        <f t="shared" si="28"/>
        <v>#N/A</v>
      </c>
      <c r="M299" s="21" t="str">
        <f t="shared" si="23"/>
        <v>https://webagentes.canaldirecto.com.ar/incidents/view/831620-8</v>
      </c>
      <c r="N299" s="21" t="str">
        <f t="shared" si="24"/>
        <v>https://webagentes.canaldirecto.com.ar/incidents/view/831620-8</v>
      </c>
      <c r="O299" s="21"/>
      <c r="P299" s="22"/>
    </row>
    <row r="300" spans="1:16" s="23" customFormat="1" ht="21" customHeight="1" thickBot="1" x14ac:dyDescent="0.25">
      <c r="A300" s="24">
        <v>3</v>
      </c>
      <c r="B300" s="25" t="s">
        <v>812</v>
      </c>
      <c r="C300" s="18" t="s">
        <v>19</v>
      </c>
      <c r="D300" s="18" t="s">
        <v>36</v>
      </c>
      <c r="E300" s="18" t="s">
        <v>27</v>
      </c>
      <c r="F300" s="18" t="s">
        <v>149</v>
      </c>
      <c r="G300" s="18" t="s">
        <v>499</v>
      </c>
      <c r="H300" s="19">
        <v>20260428</v>
      </c>
      <c r="I300" s="15" t="e">
        <f t="shared" si="25"/>
        <v>#N/A</v>
      </c>
      <c r="J300" s="15" t="e">
        <f t="shared" si="26"/>
        <v>#N/A</v>
      </c>
      <c r="K300" s="15"/>
      <c r="L300" s="20" t="e">
        <f t="shared" si="28"/>
        <v>#N/A</v>
      </c>
      <c r="M300" s="21" t="str">
        <f t="shared" si="23"/>
        <v>https://webagentes.canaldirecto.com.ar/incidents/view/831619-2</v>
      </c>
      <c r="N300" s="21" t="str">
        <f t="shared" si="24"/>
        <v>https://webagentes.canaldirecto.com.ar/incidents/view/831619-2</v>
      </c>
      <c r="O300" s="21"/>
      <c r="P300" s="22"/>
    </row>
    <row r="301" spans="1:16" s="23" customFormat="1" ht="21" customHeight="1" thickBot="1" x14ac:dyDescent="0.25">
      <c r="A301" s="24">
        <v>3</v>
      </c>
      <c r="B301" s="25" t="s">
        <v>813</v>
      </c>
      <c r="C301" s="18" t="s">
        <v>19</v>
      </c>
      <c r="D301" s="18" t="s">
        <v>36</v>
      </c>
      <c r="E301" s="18" t="s">
        <v>27</v>
      </c>
      <c r="F301" s="18" t="s">
        <v>757</v>
      </c>
      <c r="G301" s="18" t="s">
        <v>814</v>
      </c>
      <c r="H301" s="19">
        <v>20260428</v>
      </c>
      <c r="I301" s="15" t="e">
        <f t="shared" si="25"/>
        <v>#N/A</v>
      </c>
      <c r="J301" s="15" t="e">
        <f t="shared" si="26"/>
        <v>#N/A</v>
      </c>
      <c r="K301" s="15"/>
      <c r="L301" s="20" t="e">
        <f t="shared" si="28"/>
        <v>#N/A</v>
      </c>
      <c r="M301" s="21" t="str">
        <f t="shared" si="23"/>
        <v>https://webagentes.canaldirecto.com.ar/incidents/view/831618-3</v>
      </c>
      <c r="N301" s="21" t="str">
        <f t="shared" si="24"/>
        <v>https://webagentes.canaldirecto.com.ar/incidents/view/831618-3</v>
      </c>
      <c r="O301" s="21"/>
      <c r="P301" s="22"/>
    </row>
    <row r="302" spans="1:16" s="23" customFormat="1" ht="21" customHeight="1" thickBot="1" x14ac:dyDescent="0.25">
      <c r="A302" s="16">
        <v>2</v>
      </c>
      <c r="B302" s="17" t="s">
        <v>815</v>
      </c>
      <c r="C302" s="18" t="s">
        <v>19</v>
      </c>
      <c r="D302" s="18" t="s">
        <v>20</v>
      </c>
      <c r="E302" s="18" t="s">
        <v>816</v>
      </c>
      <c r="F302" s="18" t="s">
        <v>22</v>
      </c>
      <c r="G302" s="18" t="s">
        <v>817</v>
      </c>
      <c r="H302" s="19">
        <v>20260428</v>
      </c>
      <c r="I302" s="15" t="e">
        <f t="shared" si="25"/>
        <v>#N/A</v>
      </c>
      <c r="J302" s="15" t="e">
        <f t="shared" si="26"/>
        <v>#N/A</v>
      </c>
      <c r="K302" s="15"/>
      <c r="L302" s="20" t="e">
        <f t="shared" si="28"/>
        <v>#N/A</v>
      </c>
      <c r="M302" s="21" t="str">
        <f t="shared" si="23"/>
        <v>https://webagentes.canaldirecto.com.ar/incidents/view/831173-5</v>
      </c>
      <c r="N302" s="21" t="str">
        <f t="shared" si="24"/>
        <v>https://webagentes.canaldirecto.com.ar/incidents/view/831173-5</v>
      </c>
      <c r="O302" s="21"/>
      <c r="P302" s="22"/>
    </row>
    <row r="303" spans="1:16" s="23" customFormat="1" ht="21" customHeight="1" thickBot="1" x14ac:dyDescent="0.25">
      <c r="A303" s="24">
        <v>3</v>
      </c>
      <c r="B303" s="25" t="s">
        <v>818</v>
      </c>
      <c r="C303" s="18" t="s">
        <v>19</v>
      </c>
      <c r="D303" s="18" t="s">
        <v>36</v>
      </c>
      <c r="E303" s="18" t="s">
        <v>27</v>
      </c>
      <c r="F303" s="18" t="s">
        <v>819</v>
      </c>
      <c r="G303" s="18" t="s">
        <v>820</v>
      </c>
      <c r="H303" s="40">
        <v>20260429</v>
      </c>
      <c r="I303" s="15" t="str">
        <f t="shared" si="25"/>
        <v>25 de Mayo.</v>
      </c>
      <c r="J303" s="15">
        <f t="shared" si="26"/>
        <v>72.5</v>
      </c>
      <c r="K303" s="15"/>
      <c r="L303" s="20" t="str">
        <f t="shared" si="28"/>
        <v>https://www.google.com/maps/dir/Catamarca+Sur+664,+San+Juan/Escuela+Segundino+J.+Navarro,+Villa+Santa+Rosa,+San+Juan/Catamarca+Sur+664,+San+Juan/@-31.6417922,-68.584671,39456m/data=!3m2!1e3!4b1!4m20!4m19!1m5!1m1!1s0x9681402690dd76eb:0x4b283f8fe10ce3f3!2m2!1d-68.5293761!2d-31.5426363!1m5!1m1!1s0x96810523b1d1586f:0x5d7edaa467960a57!2m2!1d-68.3135955!2d-31.7430561!1m5!1m1!1s0x9681402690dd76eb:0x4b283f8fe10ce3f3!2m2!1d-68.5293761!2d-31.5426363!3e0?entry=ttu&amp;g_ep=EgoyMDI1MDgxMy4wIKXMDSoASAFQAw%3D%3D</v>
      </c>
      <c r="M303" s="21" t="str">
        <f t="shared" si="23"/>
        <v>https://webagentes.canaldirecto.com.ar/incidents/view/831903-8</v>
      </c>
      <c r="N303" s="21" t="str">
        <f t="shared" si="24"/>
        <v>https://webagentes.canaldirecto.com.ar/incidents/view/831903-8</v>
      </c>
      <c r="O303" s="21"/>
      <c r="P303" s="22"/>
    </row>
    <row r="304" spans="1:16" s="23" customFormat="1" ht="21" customHeight="1" thickBot="1" x14ac:dyDescent="0.25">
      <c r="A304" s="28">
        <v>1</v>
      </c>
      <c r="B304" s="29" t="s">
        <v>821</v>
      </c>
      <c r="C304" s="18" t="s">
        <v>19</v>
      </c>
      <c r="D304" s="18" t="s">
        <v>36</v>
      </c>
      <c r="E304" s="18" t="s">
        <v>27</v>
      </c>
      <c r="F304" s="18" t="s">
        <v>822</v>
      </c>
      <c r="G304" s="18" t="s">
        <v>823</v>
      </c>
      <c r="H304" s="40">
        <v>20260429</v>
      </c>
      <c r="I304" s="15" t="str">
        <f t="shared" si="25"/>
        <v>jachal</v>
      </c>
      <c r="J304" s="15">
        <f t="shared" si="26"/>
        <v>322</v>
      </c>
      <c r="K304" s="15"/>
      <c r="L304" s="20" t="str">
        <f t="shared" si="28"/>
        <v>https://www.google.com/maps/dir/Catamarca+Sur,+San+Juan/25+de+Mayo+776,+J5460+San+Jose+de+Jachal,+San+Juan/Catamarca+Sur,+San+Juan/@-30.8916505,-69.2842667,159083m/data=!3m2!1e3!4b1!4m20!4m19!1m5!1m1!1s0x968140269756b7e1:0x3c38eb6d66eb45d!2m2!1d-68.5295918!2d-31.5427459!1m5!1m1!1s0x968367bbddd53d37:0xb7f5e0b930ae1bd3!2m2!1d-68.7460355!2d-30.2370244!1m5!1m1!1s0x968140269756b7e1:0x3c38eb6d66eb45d!2m2!1d-68.5295918!2d-31.5427459!3e0?hl=es&amp;entry=ttu&amp;g_ep=EgoyMDI1MTAwOC4wIKXMDSoASAFQAw%3D%3D</v>
      </c>
      <c r="M304" s="21" t="str">
        <f t="shared" si="23"/>
        <v>https://webagentes.canaldirecto.com.ar/incidents/view/831902-9</v>
      </c>
      <c r="N304" s="21" t="str">
        <f t="shared" si="24"/>
        <v>https://webagentes.canaldirecto.com.ar/incidents/view/831902-9</v>
      </c>
      <c r="O304" s="21"/>
      <c r="P304" s="22"/>
    </row>
    <row r="305" spans="1:16" s="23" customFormat="1" ht="21" customHeight="1" thickBot="1" x14ac:dyDescent="0.25">
      <c r="A305" s="24">
        <v>3</v>
      </c>
      <c r="B305" s="25" t="s">
        <v>824</v>
      </c>
      <c r="C305" s="18" t="s">
        <v>19</v>
      </c>
      <c r="D305" s="18" t="s">
        <v>36</v>
      </c>
      <c r="E305" s="18" t="s">
        <v>27</v>
      </c>
      <c r="F305" s="18" t="s">
        <v>825</v>
      </c>
      <c r="G305" s="18" t="s">
        <v>826</v>
      </c>
      <c r="H305" s="40">
        <v>20260429</v>
      </c>
      <c r="I305" s="15">
        <f t="shared" si="25"/>
        <v>45802</v>
      </c>
      <c r="J305" s="15">
        <f t="shared" si="26"/>
        <v>71.099999999999994</v>
      </c>
      <c r="K305" s="15"/>
      <c r="L305" s="20" t="str">
        <f t="shared" si="28"/>
        <v>https://www.google.com/maps/dir/Catamarca+Sur+664,+San+Juan/E.E.E.+M%C3%BAltiple+De+25+De+Mayo,+Calle+4,+Enfermera+Medina+y,+Villa+Santa+Rosa,+San+Juan/Catamarca+Sur+664,+San+Juan/@-31.643134,-68.5927678,39455m/data=!3m2!1e3!4b1!4m20!4m19!1m5!1m1!1s0x9681402690dd76eb:0x4b283f8fe10ce3f3!2m2!1d-68.5293761!2d-31.5426363!1m5!1m1!1s0x968105d87b65c46b:0x9febb9b5e8411dee!2m2!1d-68.3247464!2d-31.7453951!1m5!1m1!1s0x9681402690dd76eb:0x4b283f8fe10ce3f3!2m2!1d-68.5293761!2d-31.5426363!3e0?hl=es&amp;entry=ttu&amp;g_ep=EgoyMDI1MDczMC4wIKXMDSoASAFQAw%3D%3D</v>
      </c>
      <c r="M305" s="21" t="str">
        <f t="shared" si="23"/>
        <v>https://webagentes.canaldirecto.com.ar/incidents/view/831901-0</v>
      </c>
      <c r="N305" s="21" t="str">
        <f t="shared" si="24"/>
        <v>https://webagentes.canaldirecto.com.ar/incidents/view/831901-0</v>
      </c>
      <c r="O305" s="21"/>
      <c r="P305" s="22"/>
    </row>
    <row r="306" spans="1:16" s="23" customFormat="1" ht="21" customHeight="1" thickBot="1" x14ac:dyDescent="0.25">
      <c r="A306" s="24">
        <v>3</v>
      </c>
      <c r="B306" s="25" t="s">
        <v>827</v>
      </c>
      <c r="C306" s="18" t="s">
        <v>19</v>
      </c>
      <c r="D306" s="18" t="s">
        <v>36</v>
      </c>
      <c r="E306" s="18" t="s">
        <v>27</v>
      </c>
      <c r="F306" s="18" t="s">
        <v>501</v>
      </c>
      <c r="G306" s="18" t="s">
        <v>150</v>
      </c>
      <c r="H306" s="40">
        <v>20260429</v>
      </c>
      <c r="I306" s="15" t="e">
        <f t="shared" si="25"/>
        <v>#N/A</v>
      </c>
      <c r="J306" s="15" t="e">
        <f t="shared" si="26"/>
        <v>#N/A</v>
      </c>
      <c r="K306" s="15"/>
      <c r="L306" s="20" t="e">
        <f t="shared" si="28"/>
        <v>#N/A</v>
      </c>
      <c r="M306" s="21" t="str">
        <f t="shared" si="23"/>
        <v>https://webagentes.canaldirecto.com.ar/incidents/view/831900-1</v>
      </c>
      <c r="N306" s="21" t="str">
        <f t="shared" si="24"/>
        <v>https://webagentes.canaldirecto.com.ar/incidents/view/831900-1</v>
      </c>
      <c r="O306" s="21"/>
      <c r="P306" s="22"/>
    </row>
    <row r="307" spans="1:16" s="23" customFormat="1" ht="21" customHeight="1" thickBot="1" x14ac:dyDescent="0.25">
      <c r="A307" s="24">
        <v>3</v>
      </c>
      <c r="B307" s="25" t="s">
        <v>828</v>
      </c>
      <c r="C307" s="18" t="s">
        <v>19</v>
      </c>
      <c r="D307" s="18" t="s">
        <v>36</v>
      </c>
      <c r="E307" s="18" t="s">
        <v>27</v>
      </c>
      <c r="F307" s="18" t="s">
        <v>829</v>
      </c>
      <c r="G307" s="18" t="s">
        <v>830</v>
      </c>
      <c r="H307" s="40">
        <v>20260429</v>
      </c>
      <c r="I307" s="15" t="str">
        <f t="shared" si="25"/>
        <v>25 de Mayo.</v>
      </c>
      <c r="J307" s="15">
        <f t="shared" si="26"/>
        <v>73.400000000000006</v>
      </c>
      <c r="K307" s="15"/>
      <c r="L307" s="20" t="str">
        <f t="shared" si="28"/>
        <v>https://www.google.com/maps/dir/Catamarca+Sur+664,+San+Juan/Seccional+10%C2%B0+-+25+de+Mayo,+Av.+Ram%C3%B3n+Barrera,+Villa+Santa+Rosa,+San+Juan/Catamarca+Sur+664,+San+Juan/@-31.643225,-68.584591,39455m/data=!3m2!1e3!4b1!4m20!4m19!1m5!1m1!1s0x9681402690dd76eb:0x4b283f8fe10ce3f3!2m2!1d-68.5293623!2d-31.542635!1m5!1m1!1s0x968105216088c95b:0xfbd03cc5af2e3b62!2m2!1d-68.3145049!2d-31.7454525!1m5!1m1!1s0x9681402690dd76eb:0x4b283f8fe10ce3f3!2m2!1d-68.5293623!2d-31.542635!3e0?entry=ttu&amp;g_ep=EgoyMDI1MDkwMi4wIKXMDSoASAFQAw%3D%3D</v>
      </c>
      <c r="M307" s="21" t="str">
        <f t="shared" si="23"/>
        <v>https://webagentes.canaldirecto.com.ar/incidents/view/831899-6</v>
      </c>
      <c r="N307" s="21" t="str">
        <f t="shared" si="24"/>
        <v>https://webagentes.canaldirecto.com.ar/incidents/view/831899-6</v>
      </c>
      <c r="O307" s="21"/>
      <c r="P307" s="22"/>
    </row>
    <row r="308" spans="1:16" s="23" customFormat="1" ht="21" customHeight="1" thickBot="1" x14ac:dyDescent="0.25">
      <c r="A308" s="24">
        <v>3</v>
      </c>
      <c r="B308" s="25" t="s">
        <v>831</v>
      </c>
      <c r="C308" s="18" t="s">
        <v>19</v>
      </c>
      <c r="D308" s="18" t="s">
        <v>36</v>
      </c>
      <c r="E308" s="18" t="s">
        <v>27</v>
      </c>
      <c r="F308" s="18" t="s">
        <v>829</v>
      </c>
      <c r="G308" s="18" t="s">
        <v>832</v>
      </c>
      <c r="H308" s="40">
        <v>20260429</v>
      </c>
      <c r="I308" s="15" t="str">
        <f t="shared" si="25"/>
        <v>25 de Mayo.</v>
      </c>
      <c r="J308" s="15">
        <f t="shared" si="26"/>
        <v>73.400000000000006</v>
      </c>
      <c r="K308" s="15"/>
      <c r="L308" s="20" t="str">
        <f t="shared" si="28"/>
        <v>https://www.google.com/maps/dir/Catamarca+Sur+664,+San+Juan/Seccional+10%C2%B0+-+25+de+Mayo,+Av.+Ram%C3%B3n+Barrera,+Villa+Santa+Rosa,+San+Juan/Catamarca+Sur+664,+San+Juan/@-31.643225,-68.584591,39455m/data=!3m2!1e3!4b1!4m20!4m19!1m5!1m1!1s0x9681402690dd76eb:0x4b283f8fe10ce3f3!2m2!1d-68.5293623!2d-31.542635!1m5!1m1!1s0x968105216088c95b:0xfbd03cc5af2e3b62!2m2!1d-68.3145049!2d-31.7454525!1m5!1m1!1s0x9681402690dd76eb:0x4b283f8fe10ce3f3!2m2!1d-68.5293623!2d-31.542635!3e0?entry=ttu&amp;g_ep=EgoyMDI1MDkwMi4wIKXMDSoASAFQAw%3D%3D</v>
      </c>
      <c r="M308" s="21" t="str">
        <f t="shared" si="23"/>
        <v>https://webagentes.canaldirecto.com.ar/incidents/view/831898-7</v>
      </c>
      <c r="N308" s="21" t="str">
        <f t="shared" si="24"/>
        <v>https://webagentes.canaldirecto.com.ar/incidents/view/831898-7</v>
      </c>
      <c r="O308" s="21"/>
      <c r="P308" s="22"/>
    </row>
    <row r="309" spans="1:16" s="23" customFormat="1" ht="21" customHeight="1" thickBot="1" x14ac:dyDescent="0.25">
      <c r="A309" s="24">
        <v>3</v>
      </c>
      <c r="B309" s="25" t="s">
        <v>833</v>
      </c>
      <c r="C309" s="18" t="s">
        <v>19</v>
      </c>
      <c r="D309" s="18" t="s">
        <v>36</v>
      </c>
      <c r="E309" s="18" t="s">
        <v>27</v>
      </c>
      <c r="F309" s="18" t="s">
        <v>834</v>
      </c>
      <c r="G309" s="18" t="s">
        <v>835</v>
      </c>
      <c r="H309" s="40">
        <v>20260429</v>
      </c>
      <c r="I309" s="15">
        <f t="shared" si="25"/>
        <v>45802</v>
      </c>
      <c r="J309" s="15">
        <f t="shared" si="26"/>
        <v>90.3</v>
      </c>
      <c r="K309" s="15"/>
      <c r="L309" s="20" t="str">
        <f t="shared" si="28"/>
        <v>https://www.google.com/maps/dir/Catamarca+Sur+664,+San+Juan/Escuela+DOMINGO+DE+ORO,+Unnamed+Road,+San+Juan/Catamarca+Sur+664,+San+Juan/@-31.6892546,-68.5975217,39436m/data=!3m2!1e3!4b1!4m20!4m19!1m5!1m1!1s0x9681402690dd76eb:0x4b283f8fe10ce3f3!2m2!1d-68.5293761!2d-31.5426363!1m5!1m1!1s0x96811d88be69d63b:0x1c03851abd448e82!2m2!1d-68.3587473!2d-31.8375317!1m5!1m1!1s0x9681402690dd76eb:0x4b283f8fe10ce3f3!2m2!1d-68.5293761!2d-31.5426363!3e0?hl=es&amp;entry=ttu&amp;g_ep=EgoyMDI1MDczMC4wIKXMDSoASAFQAw%3D%3D</v>
      </c>
      <c r="M309" s="21" t="str">
        <f t="shared" si="23"/>
        <v>https://webagentes.canaldirecto.com.ar/incidents/view/831897-8</v>
      </c>
      <c r="N309" s="21" t="str">
        <f t="shared" si="24"/>
        <v>https://webagentes.canaldirecto.com.ar/incidents/view/831897-8</v>
      </c>
      <c r="O309" s="21"/>
      <c r="P309" s="22"/>
    </row>
    <row r="310" spans="1:16" s="23" customFormat="1" ht="21" customHeight="1" thickBot="1" x14ac:dyDescent="0.25">
      <c r="A310" s="24">
        <v>3</v>
      </c>
      <c r="B310" s="25" t="s">
        <v>836</v>
      </c>
      <c r="C310" s="18" t="s">
        <v>19</v>
      </c>
      <c r="D310" s="18" t="s">
        <v>36</v>
      </c>
      <c r="E310" s="18" t="s">
        <v>27</v>
      </c>
      <c r="F310" s="18" t="s">
        <v>837</v>
      </c>
      <c r="G310" s="18" t="s">
        <v>838</v>
      </c>
      <c r="H310" s="40">
        <v>20260429</v>
      </c>
      <c r="I310" s="15" t="e">
        <f t="shared" si="25"/>
        <v>#N/A</v>
      </c>
      <c r="J310" s="15" t="e">
        <f t="shared" si="26"/>
        <v>#N/A</v>
      </c>
      <c r="K310" s="15"/>
      <c r="L310" s="20" t="e">
        <f t="shared" si="28"/>
        <v>#N/A</v>
      </c>
      <c r="M310" s="21" t="str">
        <f t="shared" si="23"/>
        <v>https://webagentes.canaldirecto.com.ar/incidents/view/831896-9</v>
      </c>
      <c r="N310" s="21" t="str">
        <f t="shared" si="24"/>
        <v>https://webagentes.canaldirecto.com.ar/incidents/view/831896-9</v>
      </c>
      <c r="O310" s="21"/>
      <c r="P310" s="22"/>
    </row>
    <row r="311" spans="1:16" s="23" customFormat="1" ht="21" customHeight="1" thickBot="1" x14ac:dyDescent="0.25">
      <c r="A311" s="24">
        <v>3</v>
      </c>
      <c r="B311" s="25" t="s">
        <v>839</v>
      </c>
      <c r="C311" s="18" t="s">
        <v>19</v>
      </c>
      <c r="D311" s="18" t="s">
        <v>36</v>
      </c>
      <c r="E311" s="18" t="s">
        <v>27</v>
      </c>
      <c r="F311" s="18" t="s">
        <v>840</v>
      </c>
      <c r="G311" s="18" t="s">
        <v>841</v>
      </c>
      <c r="H311" s="40">
        <v>20260429</v>
      </c>
      <c r="I311" s="15" t="str">
        <f t="shared" si="25"/>
        <v>25 de Mayo.</v>
      </c>
      <c r="J311" s="15">
        <f t="shared" si="26"/>
        <v>73.400000000000006</v>
      </c>
      <c r="K311" s="15"/>
      <c r="L311" s="20" t="str">
        <f t="shared" si="28"/>
        <v>https://www.google.com/maps/dir/Catamarca+Sur+664,+San+Juan/Escuela+Comandante+Tomas+Espora,+RP246,+Villa+Santa+Rosa,+San+Juan/Catamarca+Sur+664,+San+Juan/@-31.6527503,-68.5975217,39451m/data=!3m2!1e3!4b1!4m20!4m19!1m5!1m1!1s0x9681402690dd76eb:0x4b283f8fe10ce3f3!2m2!1d-68.5293761!2d-31.5426363!1m5!1m1!1s0x96811b2fa270f9b9:0x1115512a750ea170!2m2!1d-68.3438575!2d-31.7649086!1m5!1m1!1s0x9681402690dd76eb:0x4b283f8fe10ce3f3!2m2!1d-68.5293761!2d-31.5426363!3e0?hl=es&amp;entry=ttu&amp;g_ep=EgoyMDI1MDgxMy4wIKXMDSoASAFQAw%3D%3D</v>
      </c>
      <c r="M311" s="21" t="str">
        <f t="shared" si="23"/>
        <v>https://webagentes.canaldirecto.com.ar/incidents/view/831895-0</v>
      </c>
      <c r="N311" s="21" t="str">
        <f t="shared" si="24"/>
        <v>https://webagentes.canaldirecto.com.ar/incidents/view/831895-0</v>
      </c>
      <c r="O311" s="21"/>
      <c r="P311" s="22"/>
    </row>
    <row r="312" spans="1:16" s="23" customFormat="1" ht="21" customHeight="1" thickBot="1" x14ac:dyDescent="0.25">
      <c r="A312" s="24">
        <v>3</v>
      </c>
      <c r="B312" s="25" t="s">
        <v>842</v>
      </c>
      <c r="C312" s="18" t="s">
        <v>19</v>
      </c>
      <c r="D312" s="18" t="s">
        <v>36</v>
      </c>
      <c r="E312" s="18" t="s">
        <v>27</v>
      </c>
      <c r="F312" s="18" t="s">
        <v>840</v>
      </c>
      <c r="G312" s="18" t="s">
        <v>843</v>
      </c>
      <c r="H312" s="40">
        <v>20260429</v>
      </c>
      <c r="I312" s="15" t="str">
        <f t="shared" si="25"/>
        <v>25 de Mayo.</v>
      </c>
      <c r="J312" s="15">
        <f t="shared" si="26"/>
        <v>73.400000000000006</v>
      </c>
      <c r="K312" s="15"/>
      <c r="L312" s="20" t="str">
        <f t="shared" si="28"/>
        <v>https://www.google.com/maps/dir/Catamarca+Sur+664,+San+Juan/Escuela+Comandante+Tomas+Espora,+RP246,+Villa+Santa+Rosa,+San+Juan/Catamarca+Sur+664,+San+Juan/@-31.6527503,-68.5975217,39451m/data=!3m2!1e3!4b1!4m20!4m19!1m5!1m1!1s0x9681402690dd76eb:0x4b283f8fe10ce3f3!2m2!1d-68.5293761!2d-31.5426363!1m5!1m1!1s0x96811b2fa270f9b9:0x1115512a750ea170!2m2!1d-68.3438575!2d-31.7649086!1m5!1m1!1s0x9681402690dd76eb:0x4b283f8fe10ce3f3!2m2!1d-68.5293761!2d-31.5426363!3e0?hl=es&amp;entry=ttu&amp;g_ep=EgoyMDI1MDgxMy4wIKXMDSoASAFQAw%3D%3D</v>
      </c>
      <c r="M312" s="21" t="str">
        <f t="shared" si="23"/>
        <v>https://webagentes.canaldirecto.com.ar/incidents/view/831894-1</v>
      </c>
      <c r="N312" s="21" t="str">
        <f t="shared" si="24"/>
        <v>https://webagentes.canaldirecto.com.ar/incidents/view/831894-1</v>
      </c>
      <c r="O312" s="21"/>
      <c r="P312" s="22"/>
    </row>
    <row r="313" spans="1:16" s="23" customFormat="1" ht="21" customHeight="1" thickBot="1" x14ac:dyDescent="0.25">
      <c r="A313" s="24">
        <v>3</v>
      </c>
      <c r="B313" s="25" t="s">
        <v>844</v>
      </c>
      <c r="C313" s="18" t="s">
        <v>19</v>
      </c>
      <c r="D313" s="18" t="s">
        <v>36</v>
      </c>
      <c r="E313" s="18" t="s">
        <v>27</v>
      </c>
      <c r="F313" s="18" t="s">
        <v>845</v>
      </c>
      <c r="G313" s="18" t="s">
        <v>846</v>
      </c>
      <c r="H313" s="40">
        <v>20260429</v>
      </c>
      <c r="I313" s="15">
        <f t="shared" si="25"/>
        <v>45802</v>
      </c>
      <c r="J313" s="15">
        <f t="shared" si="26"/>
        <v>62.5</v>
      </c>
      <c r="K313" s="15"/>
      <c r="L313" s="20" t="str">
        <f t="shared" si="28"/>
        <v>https://www.google.com/maps/dir/Catamarca+Sur,+San+Juan/Escuela+Comodoro+Rivadavia,+calle+3+s%2Fn+La+plata+dep,+San+Juan/Catamarca+Sur,+San+Juan/@-31.6356972,-68.6024095,39459m/data=!3m1!1e3!4m20!4m19!1m5!1m1!1s0x968140269756b7e1:0x3c38eb6d66eb45d!2m2!1d-68.5295918!2d-31.5427459!1m5!1m1!1s0x96811b16604677ff:0x8a7d2e5d84151f90!2m2!1d-68.3451627!2d-31.7308165!1m5!1m1!1s0x968140269756b7e1:0x3c38eb6d66eb45d!2m2!1d-68.5295918!2d-31.5427459!3e0?hl=es&amp;entry=ttu&amp;g_ep=EgoyMDI1MTAwOC4wIKXMDSoASAFQAw%3D%3D</v>
      </c>
      <c r="M313" s="21" t="str">
        <f t="shared" si="23"/>
        <v>https://webagentes.canaldirecto.com.ar/incidents/view/831893-2</v>
      </c>
      <c r="N313" s="21" t="str">
        <f t="shared" si="24"/>
        <v>https://webagentes.canaldirecto.com.ar/incidents/view/831893-2</v>
      </c>
      <c r="O313" s="21"/>
      <c r="P313" s="22"/>
    </row>
    <row r="314" spans="1:16" s="23" customFormat="1" ht="21" customHeight="1" thickBot="1" x14ac:dyDescent="0.25">
      <c r="A314" s="24">
        <v>3</v>
      </c>
      <c r="B314" s="25" t="s">
        <v>847</v>
      </c>
      <c r="C314" s="18" t="s">
        <v>19</v>
      </c>
      <c r="D314" s="18" t="s">
        <v>36</v>
      </c>
      <c r="E314" s="18" t="s">
        <v>27</v>
      </c>
      <c r="F314" s="18" t="s">
        <v>848</v>
      </c>
      <c r="G314" s="18" t="s">
        <v>849</v>
      </c>
      <c r="H314" s="40">
        <v>20260429</v>
      </c>
      <c r="I314" s="15" t="str">
        <f t="shared" si="25"/>
        <v>25 de Mayo.</v>
      </c>
      <c r="J314" s="15">
        <f t="shared" si="26"/>
        <v>89.8</v>
      </c>
      <c r="K314" s="15"/>
      <c r="L314" s="20" t="str">
        <f t="shared" si="28"/>
        <v>https://www.google.com/maps/dir/Catamarca+Sur+664,+San+Juan/Escuela+Prilidiano+Pueyrred%C3%B3n,+Las+Casuarinas+25+De+Mayo,+RP279,+Las+Casuarinas,+San+Juan/Catamarca+Sur+664,+San+Juan/@-31.6787005,-68.5924059,39440m/data=!3m2!1e3!4b1!4m20!4m19!1m5!1m1!1s0x9681402690dd76eb:0x4b283f8fe10ce3f3!2m2!1d-68.5293761!2d-31.5426363!1m5!1m1!1s0x968103483af09221:0xa88b6f08b39f753f!2m2!1d-68.3240227!2d-31.8168292!1m5!1m1!1s0x9681402690dd76eb:0x4b283f8fe10ce3f3!2m2!1d-68.5293761!2d-31.5426363!3e0?hl=es&amp;entry=ttu&amp;g_ep=EgoyMDI1MDgxMy4wIKXMDSoASAFQAw%3D%3D</v>
      </c>
      <c r="M314" s="21" t="str">
        <f t="shared" si="23"/>
        <v>https://webagentes.canaldirecto.com.ar/incidents/view/831892-3</v>
      </c>
      <c r="N314" s="21" t="str">
        <f t="shared" si="24"/>
        <v>https://webagentes.canaldirecto.com.ar/incidents/view/831892-3</v>
      </c>
      <c r="O314" s="21"/>
      <c r="P314" s="22"/>
    </row>
    <row r="315" spans="1:16" s="23" customFormat="1" ht="21" customHeight="1" thickBot="1" x14ac:dyDescent="0.25">
      <c r="A315" s="24">
        <v>3</v>
      </c>
      <c r="B315" s="25" t="s">
        <v>850</v>
      </c>
      <c r="C315" s="18" t="s">
        <v>19</v>
      </c>
      <c r="D315" s="18" t="s">
        <v>36</v>
      </c>
      <c r="E315" s="18" t="s">
        <v>27</v>
      </c>
      <c r="F315" s="18" t="s">
        <v>819</v>
      </c>
      <c r="G315" s="18" t="s">
        <v>851</v>
      </c>
      <c r="H315" s="40">
        <v>20260429</v>
      </c>
      <c r="I315" s="15">
        <f t="shared" si="25"/>
        <v>45802</v>
      </c>
      <c r="J315" s="15">
        <f t="shared" si="26"/>
        <v>72.8</v>
      </c>
      <c r="K315" s="15"/>
      <c r="L315" s="20" t="str">
        <f t="shared" si="28"/>
        <v>https://www.google.com/maps/dir/Catamarca+Sur+664,+San+Juan/Escuela+Segundino+J.+Navarro,+J5452+Villa+Santa+Rosa,+San+Juan/Catamarca+Sur+664,+San+Juan/@-31.6417922,-68.584671,39456m/data=!3m2!1e3!4b1!4m20!4m19!1m5!1m1!1s0x9681402690dd76eb:0x4b283f8fe10ce3f3!2m2!1d-68.5293623!2d-31.542635!1m5!1m1!1s0x96810523b1d1586f:0x5d7edaa467960a57!2m2!1d-68.3135955!2d-31.7430561!1m5!1m1!1s0x9681402690dd76eb:0x4b283f8fe10ce3f3!2m2!1d-68.5293623!2d-31.542635!3e0?entry=ttu&amp;g_ep=EgoyMDI1MTAyOS4yIKXMDSoASAFQAw%3D%3D</v>
      </c>
      <c r="M315" s="21" t="str">
        <f t="shared" si="23"/>
        <v>https://webagentes.canaldirecto.com.ar/incidents/view/831891-4</v>
      </c>
      <c r="N315" s="21" t="str">
        <f t="shared" si="24"/>
        <v>https://webagentes.canaldirecto.com.ar/incidents/view/831891-4</v>
      </c>
      <c r="O315" s="21"/>
      <c r="P315" s="22"/>
    </row>
    <row r="316" spans="1:16" s="23" customFormat="1" ht="21" customHeight="1" thickBot="1" x14ac:dyDescent="0.25">
      <c r="A316" s="24">
        <v>3</v>
      </c>
      <c r="B316" s="25" t="s">
        <v>852</v>
      </c>
      <c r="C316" s="18" t="s">
        <v>19</v>
      </c>
      <c r="D316" s="18" t="s">
        <v>36</v>
      </c>
      <c r="E316" s="18" t="s">
        <v>27</v>
      </c>
      <c r="F316" s="18" t="s">
        <v>853</v>
      </c>
      <c r="G316" s="18" t="s">
        <v>854</v>
      </c>
      <c r="H316" s="40">
        <v>20260429</v>
      </c>
      <c r="I316" s="15" t="str">
        <f t="shared" si="25"/>
        <v>25 de Mayo.</v>
      </c>
      <c r="J316" s="15">
        <f t="shared" si="26"/>
        <v>89.8</v>
      </c>
      <c r="K316" s="15"/>
      <c r="L316" s="20" t="str">
        <f t="shared" si="28"/>
        <v>https://www.google.com/maps/dir/Catamarca+Sur,+J5402+San+Juan/Escuela+Prilidiano+Pueyrred%C3%B3n,+Las+Casuarinas+25+De+Mayo,+RP279,+Las+Casuarinas,+San+Juan/Catamarca+Sur+664,+San+Juan/@-31.6787005,-68.5924059,39440m/data=!3m2!1e3!4b1!4m20!4m19!1m5!1m1!1s0x968140269756b7e1:0x3c38eb6d66eb45d!2m2!1d-68.5295918!2d-31.5427459!1m5!1m1!1s0x968103483af09221:0xa88b6f08b39f753f!2m2!1d-68.3240227!2d-31.8168292!1m5!1m1!1s0x9681402690dd76eb:0x4b283f8fe10ce3f3!2m2!1d-68.5293761!2d-31.5426363!3e0?entry=ttu&amp;g_ep=EgoyMDI1MDgxMy4wIKXMDSoASAFQAw%3D%3D</v>
      </c>
      <c r="M316" s="21" t="str">
        <f t="shared" si="23"/>
        <v>https://webagentes.canaldirecto.com.ar/incidents/view/831890-5</v>
      </c>
      <c r="N316" s="21" t="str">
        <f t="shared" si="24"/>
        <v>https://webagentes.canaldirecto.com.ar/incidents/view/831890-5</v>
      </c>
      <c r="O316" s="21"/>
      <c r="P316" s="22"/>
    </row>
    <row r="317" spans="1:16" s="23" customFormat="1" ht="21" customHeight="1" thickBot="1" x14ac:dyDescent="0.25">
      <c r="A317" s="24">
        <v>3</v>
      </c>
      <c r="B317" s="25" t="s">
        <v>855</v>
      </c>
      <c r="C317" s="18" t="s">
        <v>19</v>
      </c>
      <c r="D317" s="18" t="s">
        <v>36</v>
      </c>
      <c r="E317" s="18" t="s">
        <v>27</v>
      </c>
      <c r="F317" s="18" t="s">
        <v>636</v>
      </c>
      <c r="G317" s="18" t="s">
        <v>856</v>
      </c>
      <c r="H317" s="40">
        <v>20260429</v>
      </c>
      <c r="I317" s="15" t="str">
        <f t="shared" si="25"/>
        <v>25 de Mayo.</v>
      </c>
      <c r="J317" s="15">
        <f t="shared" si="26"/>
        <v>96.1</v>
      </c>
      <c r="K317" s="15"/>
      <c r="L317" s="20" t="str">
        <f t="shared" si="28"/>
        <v>https://www.google.com/maps/dir/Catamarca+Sur+664,+San+Juan/Bartolome+Del+Bono,+San+Juan/Catamarca+Sur+664,+San+Juan/@-31.6818845,-68.5761041,39439m/data=!3m2!1e3!4b1!4m20!4m19!1m5!1m1!1s0x9681402690dd76eb:0x4b283f8fe10ce3f3!2m2!1d-68.5293761!2d-31.5426363!1m5!1m1!1s0x968103060f9848d7:0x45a04d443e384ee!2m2!1d-68.2915943!2d-31.8232407!1m5!1m1!1s0x9681402690dd76eb:0x4b283f8fe10ce3f3!2m2!1d-68.5293761!2d-31.5426363!3e0?hl=es&amp;entry=ttu&amp;g_ep=EgoyMDI1MDgxMy4wIKXMDSoASAFQAw%3D%3D</v>
      </c>
      <c r="M317" s="21" t="str">
        <f t="shared" si="23"/>
        <v>https://webagentes.canaldirecto.com.ar/incidents/view/831889-9</v>
      </c>
      <c r="N317" s="21" t="str">
        <f t="shared" si="24"/>
        <v>https://webagentes.canaldirecto.com.ar/incidents/view/831889-9</v>
      </c>
      <c r="O317" s="21"/>
      <c r="P317" s="22"/>
    </row>
    <row r="318" spans="1:16" s="23" customFormat="1" ht="21" customHeight="1" thickBot="1" x14ac:dyDescent="0.25">
      <c r="A318" s="24">
        <v>3</v>
      </c>
      <c r="B318" s="25" t="s">
        <v>857</v>
      </c>
      <c r="C318" s="18" t="s">
        <v>19</v>
      </c>
      <c r="D318" s="18" t="s">
        <v>36</v>
      </c>
      <c r="E318" s="18" t="s">
        <v>27</v>
      </c>
      <c r="F318" s="18" t="s">
        <v>501</v>
      </c>
      <c r="G318" s="18" t="s">
        <v>858</v>
      </c>
      <c r="H318" s="40">
        <v>20260429</v>
      </c>
      <c r="I318" s="15" t="str">
        <f t="shared" si="25"/>
        <v>25 de Mayo.</v>
      </c>
      <c r="J318" s="15">
        <f t="shared" si="26"/>
        <v>89.3</v>
      </c>
      <c r="K318" s="15"/>
      <c r="L318" s="20" t="str">
        <f t="shared" si="28"/>
        <v>https://www.google.com/maps/dir/Catamarca+Sur+664,+San+Juan/Escuela+AgroIndustrial+25+De+Mayo+San+Juan,+San+Mart%C3%ADn,+Las+Casuarinas,+San+Juan/Catamarca+Sur+664,+San+Juan/@-31.6795326,-68.584671,39440m/data=!3m2!1e3!4b1!4m20!4m19!1m5!1m1!1s0x9681402690dd76eb:0x4b283f8fe10ce3f3!2m2!1d-68.5293761!2d-31.5426363!1m5!1m1!1s0x968103361be1ef45:0x1a99589024fb69a3!2m2!1d-68.3269044!2d-31.8185368!1m5!1m1!1s0x9681402690dd76eb:0x4b283f8fe10ce3f3!2m2!1d-68.5293761!2d-31.5426363!3e0?hl=es&amp;entry=ttu&amp;g_ep=EgoyMDI1MDgxMy4wIKXMDSoASAFQAw%3D%3D</v>
      </c>
      <c r="M318" s="21" t="str">
        <f t="shared" si="23"/>
        <v>https://webagentes.canaldirecto.com.ar/incidents/view/831888-0</v>
      </c>
      <c r="N318" s="21" t="str">
        <f t="shared" si="24"/>
        <v>https://webagentes.canaldirecto.com.ar/incidents/view/831888-0</v>
      </c>
      <c r="O318" s="21"/>
      <c r="P318" s="22"/>
    </row>
    <row r="319" spans="1:16" s="23" customFormat="1" ht="21" customHeight="1" thickBot="1" x14ac:dyDescent="0.25">
      <c r="A319" s="24">
        <v>3</v>
      </c>
      <c r="B319" s="25" t="s">
        <v>859</v>
      </c>
      <c r="C319" s="18" t="s">
        <v>19</v>
      </c>
      <c r="D319" s="18" t="s">
        <v>36</v>
      </c>
      <c r="E319" s="18" t="s">
        <v>27</v>
      </c>
      <c r="F319" s="18" t="s">
        <v>860</v>
      </c>
      <c r="G319" s="18" t="s">
        <v>861</v>
      </c>
      <c r="H319" s="40">
        <v>20260429</v>
      </c>
      <c r="I319" s="15" t="str">
        <f t="shared" si="25"/>
        <v>25 de Mayo.</v>
      </c>
      <c r="J319" s="15">
        <f t="shared" si="26"/>
        <v>72.5</v>
      </c>
      <c r="K319" s="15"/>
      <c r="L319" s="20" t="str">
        <f t="shared" si="28"/>
        <v>https://www.google.com/maps/dir/Catamarca+Sur+664,+San+Juan/ENI+N%C2%B054+Santa+Rosa,+A.+Torres,+Villa+Santa+Rosa,+San+Juan/Catamarca+Sur+664,+San+Juan/@-31.6416191,-68.584671,39456m/data=!3m2!1e3!4b1!4m20!4m19!1m5!1m1!1s0x9681402690dd76eb:0x4b283f8fe10ce3f3!2m2!1d-68.5293761!2d-31.5426363!1m5!1m1!1s0x968105bad3496101:0x491d1642372d36b1!2m2!1d-68.3135496!2d-31.7423373!1m5!1m1!1s0x9681402690dd76eb:0x4b283f8fe10ce3f3!2m2!1d-68.5293761!2d-31.5426363!3e0?hl=es&amp;entry=ttu&amp;g_ep=EgoyMDI1MDgxMy4wIKXMDSoASAFQAw%3D%3D</v>
      </c>
      <c r="M319" s="21" t="str">
        <f t="shared" si="23"/>
        <v>https://webagentes.canaldirecto.com.ar/incidents/view/831887-1</v>
      </c>
      <c r="N319" s="21" t="str">
        <f t="shared" si="24"/>
        <v>https://webagentes.canaldirecto.com.ar/incidents/view/831887-1</v>
      </c>
      <c r="O319" s="21"/>
      <c r="P319" s="22"/>
    </row>
    <row r="320" spans="1:16" s="23" customFormat="1" ht="21" customHeight="1" thickBot="1" x14ac:dyDescent="0.25">
      <c r="A320" s="24">
        <v>3</v>
      </c>
      <c r="B320" s="25" t="s">
        <v>862</v>
      </c>
      <c r="C320" s="18" t="s">
        <v>19</v>
      </c>
      <c r="D320" s="18" t="s">
        <v>36</v>
      </c>
      <c r="E320" s="18" t="s">
        <v>27</v>
      </c>
      <c r="F320" s="18" t="s">
        <v>845</v>
      </c>
      <c r="G320" s="18" t="s">
        <v>863</v>
      </c>
      <c r="H320" s="40">
        <v>20260429</v>
      </c>
      <c r="I320" s="15">
        <f t="shared" si="25"/>
        <v>45802</v>
      </c>
      <c r="J320" s="15">
        <f t="shared" si="26"/>
        <v>62.5</v>
      </c>
      <c r="K320" s="15"/>
      <c r="L320" s="20" t="str">
        <f t="shared" si="28"/>
        <v>https://www.google.com/maps/dir/Catamarca+Sur,+San+Juan/Escuela+Comodoro+Rivadavia,+calle+3+s%2Fn+La+plata+dep,+San+Juan/Catamarca+Sur,+San+Juan/@-31.6356972,-68.6024095,39459m/data=!3m1!1e3!4m20!4m19!1m5!1m1!1s0x968140269756b7e1:0x3c38eb6d66eb45d!2m2!1d-68.5295918!2d-31.5427459!1m5!1m1!1s0x96811b16604677ff:0x8a7d2e5d84151f90!2m2!1d-68.3451627!2d-31.7308165!1m5!1m1!1s0x968140269756b7e1:0x3c38eb6d66eb45d!2m2!1d-68.5295918!2d-31.5427459!3e0?hl=es&amp;entry=ttu&amp;g_ep=EgoyMDI1MTAwOC4wIKXMDSoASAFQAw%3D%3D</v>
      </c>
      <c r="M320" s="21" t="str">
        <f t="shared" si="23"/>
        <v>https://webagentes.canaldirecto.com.ar/incidents/view/831886-2</v>
      </c>
      <c r="N320" s="21" t="str">
        <f t="shared" si="24"/>
        <v>https://webagentes.canaldirecto.com.ar/incidents/view/831886-2</v>
      </c>
      <c r="O320" s="21"/>
      <c r="P320" s="22"/>
    </row>
    <row r="321" spans="1:16" s="23" customFormat="1" ht="21" customHeight="1" thickBot="1" x14ac:dyDescent="0.25">
      <c r="A321" s="16">
        <v>2</v>
      </c>
      <c r="B321" s="17" t="s">
        <v>864</v>
      </c>
      <c r="C321" s="18" t="s">
        <v>19</v>
      </c>
      <c r="D321" s="18" t="s">
        <v>36</v>
      </c>
      <c r="E321" s="18" t="s">
        <v>27</v>
      </c>
      <c r="F321" s="18" t="s">
        <v>865</v>
      </c>
      <c r="G321" s="18" t="s">
        <v>866</v>
      </c>
      <c r="H321" s="40">
        <v>20260429</v>
      </c>
      <c r="I321" s="15" t="str">
        <f t="shared" si="25"/>
        <v>Caucte</v>
      </c>
      <c r="J321" s="15">
        <f t="shared" si="26"/>
        <v>60</v>
      </c>
      <c r="K321" s="15"/>
      <c r="L321" s="20" t="str">
        <f t="shared" si="28"/>
        <v>https://www.google.com/maps/dir/Catamarca+Sur+664,+San+Juan/Escuela+Estanislao+Del+Campo+N%C2%B0821,+Caucete,+San+Juan/Catamarca+Sur+664,+San+Juan/@-31.5857956,-68.4930715,19740m/data=!3m2!1e3!4b1!4m20!4m19!1m5!1m1!1s0x9681402690dd76eb:0x4b283f8fe10ce3f3!2m2!1d-68.5293623!2d-31.542635!1m5!1m1!1s0x96810dcc427bd0a3:0x475bcc3ff8fc6c6!2m2!1d-68.290325!2d-31.6011449!1m5!1m1!1s0x9681402690dd76eb:0x4b283f8fe10ce3f3!2m2!1d-68.5293623!2d-31.542635!3e0?hl=es&amp;entry=ttu&amp;g_ep=EgoyMDI1MDgxOS4wIKXMDSoASAFQAw%3D%3D</v>
      </c>
      <c r="M321" s="21" t="str">
        <f t="shared" si="23"/>
        <v>https://webagentes.canaldirecto.com.ar/incidents/view/831885-3</v>
      </c>
      <c r="N321" s="21" t="str">
        <f t="shared" si="24"/>
        <v>https://webagentes.canaldirecto.com.ar/incidents/view/831885-3</v>
      </c>
      <c r="O321" s="21"/>
      <c r="P321" s="22"/>
    </row>
    <row r="322" spans="1:16" s="23" customFormat="1" ht="21" customHeight="1" thickBot="1" x14ac:dyDescent="0.25">
      <c r="A322" s="16">
        <v>2</v>
      </c>
      <c r="B322" s="17" t="s">
        <v>867</v>
      </c>
      <c r="C322" s="18" t="s">
        <v>19</v>
      </c>
      <c r="D322" s="18" t="s">
        <v>36</v>
      </c>
      <c r="E322" s="18" t="s">
        <v>27</v>
      </c>
      <c r="F322" s="18" t="s">
        <v>868</v>
      </c>
      <c r="G322" s="18" t="s">
        <v>869</v>
      </c>
      <c r="H322" s="40">
        <v>20260429</v>
      </c>
      <c r="I322" s="15" t="str">
        <f t="shared" si="25"/>
        <v>Caucete</v>
      </c>
      <c r="J322" s="15">
        <f t="shared" si="26"/>
        <v>59.1</v>
      </c>
      <c r="K322" s="15"/>
      <c r="L322" s="20" t="str">
        <f t="shared" si="28"/>
        <v>https://www.google.com/maps/dir/Catamarca+Sur+664,+San+Juan/Escuela+Leonor+S%C3%A1nchez+de+Arancibia,+J5442+Caucete,+San+Juan/Catamarca+Sur+664,+San+Juan/@-31.5968129,-68.4912887,19738m/data=!3m2!1e3!4b1!4m20!4m19!1m5!1m1!1s0x9681402690dd76eb:0x4b283f8fe10ce3f3!2m2!1d-68.5293761!2d-31.5426363!1m5!1m1!1s0x96810e5642ec52c9:0xf11e42f184869c0e!2m2!1d-68.2880184!2d-31.6523474!1m5!1m1!1s0x9681402690dd76eb:0x4b283f8fe10ce3f3!2m2!1d-68.5293761!2d-31.5426363!3e0?entry=ttu&amp;g_ep=EgoyMDI1MDgxMy4wIKXMDSoASAFQAw%3D%3D</v>
      </c>
      <c r="M322" s="21" t="str">
        <f t="shared" si="23"/>
        <v>https://webagentes.canaldirecto.com.ar/incidents/view/831884-4</v>
      </c>
      <c r="N322" s="21" t="str">
        <f t="shared" si="24"/>
        <v>https://webagentes.canaldirecto.com.ar/incidents/view/831884-4</v>
      </c>
      <c r="O322" s="21"/>
      <c r="P322" s="22"/>
    </row>
    <row r="323" spans="1:16" s="23" customFormat="1" ht="21" customHeight="1" thickBot="1" x14ac:dyDescent="0.25">
      <c r="A323" s="16">
        <v>2</v>
      </c>
      <c r="B323" s="17" t="s">
        <v>870</v>
      </c>
      <c r="C323" s="18" t="s">
        <v>19</v>
      </c>
      <c r="D323" s="18" t="s">
        <v>36</v>
      </c>
      <c r="E323" s="18" t="s">
        <v>27</v>
      </c>
      <c r="F323" s="18" t="s">
        <v>871</v>
      </c>
      <c r="G323" s="18" t="s">
        <v>872</v>
      </c>
      <c r="H323" s="40">
        <v>20260429</v>
      </c>
      <c r="I323" s="15" t="str">
        <f t="shared" si="25"/>
        <v>Caucete</v>
      </c>
      <c r="J323" s="15">
        <f t="shared" si="26"/>
        <v>62.4</v>
      </c>
      <c r="K323" s="15">
        <v>62.4</v>
      </c>
      <c r="L323" s="20" t="str">
        <f t="shared" si="28"/>
        <v>https://www.google.com/maps/dir/Catamarca+Sur+664,+San+Juan/Escuela+Andina,+RP270,+San+Juan/Catamarca+Sur+664,+San+Juan/@-31.6044052,-68.4906667,19736m/data=!3m1!1e3!4m20!4m19!1m5!1m1!1s0x9681402690dd76eb:0x4b283f8fe10ce3f3!2m2!1d-68.5293761!2d-31.5426363!1m5!1m1!1s0x96810faed43f7c13:0xae39ac1301cd4f83!2m2!1d-68.2924734!2d-31.667811!1m5!1m1!1s0x9681402690dd76eb:0x4b283f8fe10ce3f3!2m2!1d-68.5293761!2d-31.5426363!3e0?entry=ttu&amp;g_ep=EgoyMDI1MDgxMy4wIKXMDSoASAFQAw%3D%3D</v>
      </c>
      <c r="M323" s="21" t="str">
        <f t="shared" ref="M323:M342" si="29">HYPERLINK(N323)</f>
        <v>https://webagentes.canaldirecto.com.ar/incidents/view/831883-5</v>
      </c>
      <c r="N323" s="21" t="str">
        <f t="shared" ref="N323:N342" si="30">CONCATENATE("https://webagentes.canaldirecto.com.ar/incidents/view/",B323)</f>
        <v>https://webagentes.canaldirecto.com.ar/incidents/view/831883-5</v>
      </c>
      <c r="O323" s="21"/>
      <c r="P323" s="22"/>
    </row>
    <row r="324" spans="1:16" s="23" customFormat="1" ht="21" customHeight="1" thickBot="1" x14ac:dyDescent="0.25">
      <c r="A324" s="16">
        <v>2</v>
      </c>
      <c r="B324" s="17" t="s">
        <v>873</v>
      </c>
      <c r="C324" s="18" t="s">
        <v>19</v>
      </c>
      <c r="D324" s="18" t="s">
        <v>36</v>
      </c>
      <c r="E324" s="18" t="s">
        <v>27</v>
      </c>
      <c r="F324" s="18" t="s">
        <v>874</v>
      </c>
      <c r="G324" s="18" t="s">
        <v>875</v>
      </c>
      <c r="H324" s="40">
        <v>20260429</v>
      </c>
      <c r="I324" s="15" t="str">
        <f t="shared" ref="I324:I342" si="31">VLOOKUP(G324,DIOS,2,FALSE)</f>
        <v>Caucete</v>
      </c>
      <c r="J324" s="15">
        <f t="shared" ref="J324:J342" si="32">VLOOKUP(G324,DIOS,5,FALSE)</f>
        <v>62.4</v>
      </c>
      <c r="K324" s="15"/>
      <c r="L324" s="20" t="str">
        <f t="shared" si="28"/>
        <v>https://www.google.com/maps/dir/Catamarca+Sur+664,+San+Juan/Escuela+Andina,+RP270,+San+Juan/Catamarca+Sur+664,+San+Juan/@-31.6045048,-68.4912887,19736m/data=!3m2!1e3!4b1!4m20!4m19!1m5!1m1!1s0x9681402690dd76eb:0x4b283f8fe10ce3f3!2m2!1d-68.5293761!2d-31.5426363!1m5!1m1!1s0x96810faed43f7c13:0xae39ac1301cd4f83!2m2!1d-68.2924734!2d-31.667811!1m5!1m1!1s0x9681402690dd76eb:0x4b283f8fe10ce3f3!2m2!1d-68.5293761!2d-31.5426363!3e0?hl=es&amp;entry=ttu&amp;g_ep=EgoyMDI1MDgxMy4wIKXMDSoASAFQAw%3D%3D</v>
      </c>
      <c r="M324" s="21" t="str">
        <f t="shared" si="29"/>
        <v>https://webagentes.canaldirecto.com.ar/incidents/view/831882-6</v>
      </c>
      <c r="N324" s="21" t="str">
        <f t="shared" si="30"/>
        <v>https://webagentes.canaldirecto.com.ar/incidents/view/831882-6</v>
      </c>
      <c r="O324" s="21"/>
      <c r="P324" s="22"/>
    </row>
    <row r="325" spans="1:16" s="23" customFormat="1" ht="21" customHeight="1" thickBot="1" x14ac:dyDescent="0.25">
      <c r="A325" s="16">
        <v>2</v>
      </c>
      <c r="B325" s="17" t="s">
        <v>876</v>
      </c>
      <c r="C325" s="18" t="s">
        <v>19</v>
      </c>
      <c r="D325" s="18" t="s">
        <v>36</v>
      </c>
      <c r="E325" s="18" t="s">
        <v>27</v>
      </c>
      <c r="F325" s="18" t="s">
        <v>868</v>
      </c>
      <c r="G325" s="18" t="s">
        <v>877</v>
      </c>
      <c r="H325" s="40">
        <v>20260429</v>
      </c>
      <c r="I325" s="15" t="str">
        <f t="shared" si="31"/>
        <v>Caucete</v>
      </c>
      <c r="J325" s="15">
        <f t="shared" si="32"/>
        <v>59.1</v>
      </c>
      <c r="K325" s="15"/>
      <c r="L325" s="20" t="str">
        <f t="shared" si="28"/>
        <v>https://www.google.com/maps/dir/Catamarca+Sur+664,+San+Juan/Escuela+Leonor+S%C3%A1nchez+de+Arancibia,+J5442+Caucete,+San+Juan/Catamarca+Sur+664,+San+Juan/@-31.5968129,-68.4912887,19738m/data=!3m2!1e3!4b1!4m20!4m19!1m5!1m1!1s0x9681402690dd76eb:0x4b283f8fe10ce3f3!2m2!1d-68.5293761!2d-31.5426363!1m5!1m1!1s0x96810e5642ec52c9:0xf11e42f184869c0e!2m2!1d-68.2880184!2d-31.6523474!1m5!1m1!1s0x9681402690dd76eb:0x4b283f8fe10ce3f3!2m2!1d-68.5293761!2d-31.5426363!3e0?entry=ttu&amp;g_ep=EgoyMDI1MDgxMy4wIKXMDSoASAFQAw%3D%3D</v>
      </c>
      <c r="M325" s="21" t="str">
        <f t="shared" si="29"/>
        <v>https://webagentes.canaldirecto.com.ar/incidents/view/831881-7</v>
      </c>
      <c r="N325" s="21" t="str">
        <f t="shared" si="30"/>
        <v>https://webagentes.canaldirecto.com.ar/incidents/view/831881-7</v>
      </c>
      <c r="O325" s="21"/>
      <c r="P325" s="22"/>
    </row>
    <row r="326" spans="1:16" s="23" customFormat="1" ht="21" customHeight="1" thickBot="1" x14ac:dyDescent="0.25">
      <c r="A326" s="16">
        <v>2</v>
      </c>
      <c r="B326" s="17" t="s">
        <v>878</v>
      </c>
      <c r="C326" s="18" t="s">
        <v>19</v>
      </c>
      <c r="D326" s="18" t="s">
        <v>36</v>
      </c>
      <c r="E326" s="18" t="s">
        <v>27</v>
      </c>
      <c r="F326" s="18" t="s">
        <v>879</v>
      </c>
      <c r="G326" s="18" t="s">
        <v>880</v>
      </c>
      <c r="H326" s="40">
        <v>20260429</v>
      </c>
      <c r="I326" s="15" t="str">
        <f t="shared" si="31"/>
        <v>Caucete</v>
      </c>
      <c r="J326" s="15">
        <f t="shared" si="32"/>
        <v>60.9</v>
      </c>
      <c r="K326" s="15"/>
      <c r="L326" s="20" t="str">
        <f t="shared" si="28"/>
        <v>https://www.google.com/maps/dir/Catamarca+Sur+664,+San+Juan/Escuela+Manuel+Pacifico+Antequeda,+RN20+1051,+J5442+Villa+Col%C3%B3n,+San+Juan/Catamarca+Sur+664,+San+Juan/@-31.5998595,-68.4855209,19737m/data=!3m2!1e3!4b1!4m20!4m19!1m5!1m1!1s0x9681402690dd76eb:0x4b283f8fe10ce3f3!2m2!1d-68.5293761!2d-31.5426363!1m5!1m1!1s0x96810f02b81f9bf7:0xe75f70ac32ae052e!2m2!1d-68.2751029!2d-31.6582625!1m5!1m1!1s0x9681402690dd76eb:0x4b283f8fe10ce3f3!2m2!1d-68.5293761!2d-31.5426363!3e0?hl=es&amp;entry=ttu&amp;g_ep=EgoyMDI1MDgxMy4wIKXMDSoASAFQAw%3D%3D</v>
      </c>
      <c r="M326" s="21" t="str">
        <f t="shared" si="29"/>
        <v>https://webagentes.canaldirecto.com.ar/incidents/view/831880-8</v>
      </c>
      <c r="N326" s="21" t="str">
        <f t="shared" si="30"/>
        <v>https://webagentes.canaldirecto.com.ar/incidents/view/831880-8</v>
      </c>
      <c r="O326" s="21"/>
      <c r="P326" s="22"/>
    </row>
    <row r="327" spans="1:16" s="23" customFormat="1" ht="21" customHeight="1" thickBot="1" x14ac:dyDescent="0.25">
      <c r="A327" s="28">
        <v>1</v>
      </c>
      <c r="B327" s="29" t="s">
        <v>881</v>
      </c>
      <c r="C327" s="18" t="s">
        <v>19</v>
      </c>
      <c r="D327" s="18" t="s">
        <v>36</v>
      </c>
      <c r="E327" s="18" t="s">
        <v>27</v>
      </c>
      <c r="F327" s="18" t="s">
        <v>822</v>
      </c>
      <c r="G327" s="18" t="s">
        <v>882</v>
      </c>
      <c r="H327" s="40">
        <v>20260429</v>
      </c>
      <c r="I327" s="15" t="str">
        <f t="shared" si="31"/>
        <v>jachal</v>
      </c>
      <c r="J327" s="15">
        <f t="shared" si="32"/>
        <v>322</v>
      </c>
      <c r="K327" s="15"/>
      <c r="L327" s="20" t="str">
        <f t="shared" si="28"/>
        <v>https://www.google.com/maps/dir/Catamarca+Sur,+San+Juan/25+de+Mayo+776,+J5460+San+Jose+de+Jachal,+San+Juan/Catamarca+Sur,+San+Juan/@-30.8916505,-69.2842667,159083m/data=!3m2!1e3!4b1!4m20!4m19!1m5!1m1!1s0x968140269756b7e1:0x3c38eb6d66eb45d!2m2!1d-68.5295918!2d-31.5427459!1m5!1m1!1s0x968367bbddd53d37:0xb7f5e0b930ae1bd3!2m2!1d-68.7460355!2d-30.2370244!1m5!1m1!1s0x968140269756b7e1:0x3c38eb6d66eb45d!2m2!1d-68.5295918!2d-31.5427459!3e0?hl=es&amp;entry=ttu&amp;g_ep=EgoyMDI1MTAwOC4wIKXMDSoASAFQAw%3D%3D</v>
      </c>
      <c r="M327" s="21" t="str">
        <f t="shared" si="29"/>
        <v>https://webagentes.canaldirecto.com.ar/incidents/view/831879-2</v>
      </c>
      <c r="N327" s="21" t="str">
        <f t="shared" si="30"/>
        <v>https://webagentes.canaldirecto.com.ar/incidents/view/831879-2</v>
      </c>
      <c r="O327" s="21"/>
      <c r="P327" s="22"/>
    </row>
    <row r="328" spans="1:16" s="23" customFormat="1" ht="21" customHeight="1" thickBot="1" x14ac:dyDescent="0.25">
      <c r="A328" s="28">
        <v>1</v>
      </c>
      <c r="B328" s="29" t="s">
        <v>883</v>
      </c>
      <c r="C328" s="18" t="s">
        <v>19</v>
      </c>
      <c r="D328" s="18" t="s">
        <v>20</v>
      </c>
      <c r="E328" s="18" t="s">
        <v>27</v>
      </c>
      <c r="F328" s="18" t="s">
        <v>625</v>
      </c>
      <c r="G328" s="18" t="s">
        <v>626</v>
      </c>
      <c r="H328" s="40">
        <v>20260429</v>
      </c>
      <c r="I328" s="15" t="str">
        <f t="shared" si="31"/>
        <v>Jachal (Pachimoco)</v>
      </c>
      <c r="J328" s="15">
        <f t="shared" si="32"/>
        <v>326</v>
      </c>
      <c r="K328" s="15"/>
      <c r="L328" s="20" t="str">
        <f t="shared" si="28"/>
        <v>https://www.google.com/maps/dir/Catamarca+Sur+664,+San+Juan/Escuela+Agrot%C3%A9nica+Manuel+Belgrano,+San+Jose+de+Jachal,+San+Juan/Catamarca+Sur+664,+San+Juan/@-30.8824933,-69.2985481,159099m/data=!3m1!1e3!4m20!4m19!1m5!1m1!1s0x9681402690dd76eb:0x4b283f8fe10ce3f3!2m2!1d-68.5293761!2d-31.5426363!1m5!1m1!1s0x96836777c76de6df:0xc3c2116f8562e6ff!2m2!1d-68.763417!2d-30.2252051!1m5!1m1!1s0x9681402690dd76eb:0x4b283f8fe10ce3f3!2m2!1d-68.5293761!2d-31.5426363!3e0?hl=es&amp;entry=ttu&amp;g_ep=EgoyMDI1MDczMC4wIKXMDSoASAFQAw%3D%3D</v>
      </c>
      <c r="M328" s="21" t="str">
        <f t="shared" si="29"/>
        <v>https://webagentes.canaldirecto.com.ar/incidents/view/831776-6</v>
      </c>
      <c r="N328" s="21" t="str">
        <f t="shared" si="30"/>
        <v>https://webagentes.canaldirecto.com.ar/incidents/view/831776-6</v>
      </c>
      <c r="O328" s="21"/>
      <c r="P328" s="22"/>
    </row>
    <row r="329" spans="1:16" s="23" customFormat="1" ht="21" customHeight="1" thickBot="1" x14ac:dyDescent="0.25">
      <c r="A329" s="28">
        <v>1</v>
      </c>
      <c r="B329" s="29" t="s">
        <v>884</v>
      </c>
      <c r="C329" s="18" t="s">
        <v>19</v>
      </c>
      <c r="D329" s="18" t="s">
        <v>20</v>
      </c>
      <c r="E329" s="18" t="s">
        <v>27</v>
      </c>
      <c r="F329" s="18" t="s">
        <v>453</v>
      </c>
      <c r="G329" s="18" t="s">
        <v>454</v>
      </c>
      <c r="H329" s="40">
        <v>20260429</v>
      </c>
      <c r="I329" s="15" t="str">
        <f t="shared" si="31"/>
        <v>Jachal</v>
      </c>
      <c r="J329" s="15">
        <f t="shared" si="32"/>
        <v>349</v>
      </c>
      <c r="K329" s="15">
        <v>349</v>
      </c>
      <c r="L329" s="20" t="str">
        <f t="shared" si="28"/>
        <v>https://www.google.com/maps/dir/Catamarca+Sur+664,+San+Juan/Alejandro+Fleming,+J%C3%A1chal,+San+Juan/Catamarca+Sur+664,+San+Juan/@-30.3000218,-69.0550579,84281m/data=!3m1!1e3!4m20!4m19!1m5!1m1!1s0x9681402690dd76eb:0x4b283f8fe10ce3f3!2m2!1d-68.5293761!2d-31.5426363!1m5!1m1!1s0x96835d06904b1b75:0xeb613218b9a14119!2m2!1d-68.7210546!2d-30.1215004!1m5!1m1!1s0x9681402690dd76eb:0x4b283f8fe10ce3f3!2m2!1d-68.5293761!2d-31.5426363!3e0?entry=ttu&amp;g_ep=EgoyMDI1MDgxMy4wIKXMDSoASAFQAw%3D%3D</v>
      </c>
      <c r="M329" s="21" t="str">
        <f t="shared" si="29"/>
        <v>https://webagentes.canaldirecto.com.ar/incidents/view/831539-7</v>
      </c>
      <c r="N329" s="21" t="str">
        <f t="shared" si="30"/>
        <v>https://webagentes.canaldirecto.com.ar/incidents/view/831539-7</v>
      </c>
      <c r="O329" s="21"/>
      <c r="P329" s="22"/>
    </row>
    <row r="330" spans="1:16" s="23" customFormat="1" ht="21" customHeight="1" thickBot="1" x14ac:dyDescent="0.25">
      <c r="A330" s="16">
        <v>2</v>
      </c>
      <c r="B330" s="17" t="s">
        <v>885</v>
      </c>
      <c r="C330" s="18" t="s">
        <v>19</v>
      </c>
      <c r="D330" s="18" t="s">
        <v>20</v>
      </c>
      <c r="E330" s="18" t="s">
        <v>886</v>
      </c>
      <c r="F330" s="18" t="s">
        <v>887</v>
      </c>
      <c r="G330" s="18" t="s">
        <v>888</v>
      </c>
      <c r="H330" s="40">
        <v>20260429</v>
      </c>
      <c r="I330" s="15" t="e">
        <f t="shared" si="31"/>
        <v>#N/A</v>
      </c>
      <c r="J330" s="15" t="e">
        <f t="shared" si="32"/>
        <v>#N/A</v>
      </c>
      <c r="K330" s="15">
        <v>45.5</v>
      </c>
      <c r="L330" s="20" t="e">
        <f t="shared" si="28"/>
        <v>#N/A</v>
      </c>
      <c r="M330" s="21" t="str">
        <f t="shared" si="29"/>
        <v>https://webagentes.canaldirecto.com.ar/incidents/view/831531-5</v>
      </c>
      <c r="N330" s="21" t="str">
        <f t="shared" si="30"/>
        <v>https://webagentes.canaldirecto.com.ar/incidents/view/831531-5</v>
      </c>
      <c r="O330" s="21"/>
      <c r="P330" s="22"/>
    </row>
    <row r="331" spans="1:16" s="23" customFormat="1" ht="21" customHeight="1" thickBot="1" x14ac:dyDescent="0.25">
      <c r="A331" s="24">
        <v>3</v>
      </c>
      <c r="B331" s="25" t="s">
        <v>889</v>
      </c>
      <c r="C331" s="18" t="s">
        <v>19</v>
      </c>
      <c r="D331" s="18" t="s">
        <v>20</v>
      </c>
      <c r="E331" s="18" t="s">
        <v>27</v>
      </c>
      <c r="F331" s="18" t="s">
        <v>641</v>
      </c>
      <c r="G331" s="18" t="s">
        <v>642</v>
      </c>
      <c r="H331" s="40">
        <v>20260429</v>
      </c>
      <c r="I331" s="15" t="str">
        <f t="shared" si="31"/>
        <v>25 de Mayo.</v>
      </c>
      <c r="J331" s="15">
        <f t="shared" si="32"/>
        <v>103</v>
      </c>
      <c r="K331" s="15">
        <v>103</v>
      </c>
      <c r="L331" s="20" t="str">
        <f t="shared" si="28"/>
        <v>https://www.google.com/maps/dir/Catamarca+Sur+664,+San+Juan/Escuela+Florencia+Nightingale,+La+Chimbera,+San+Juan/Catamarca+Sur+664,+San+Juan/@-31.6846801,-68.557716,39438m/data=!3m1!1e3!4m20!4m19!1m5!1m1!1s0x9681402690dd76eb:0x4b283f8fe10ce3f3!2m2!1d-68.5293761!2d-31.5426363!1m5!1m1!1s0x9681038bb2ca75e1:0xd6b4ade33c666da2!2m2!1d-68.254643!2d-31.8286405!1m5!1m1!1s0x9681402690dd76eb:0x4b283f8fe10ce3f3!2m2!1d-68.5293761!2d-31.5426363!3e0?entry=ttu&amp;g_ep=EgoyMDI1MDgxMy4wIKXMDSoASAFQAw%3D%3D</v>
      </c>
      <c r="M331" s="21" t="str">
        <f t="shared" si="29"/>
        <v>https://webagentes.canaldirecto.com.ar/incidents/view/831390-0</v>
      </c>
      <c r="N331" s="21" t="str">
        <f t="shared" si="30"/>
        <v>https://webagentes.canaldirecto.com.ar/incidents/view/831390-0</v>
      </c>
      <c r="O331" s="21"/>
      <c r="P331" s="22"/>
    </row>
    <row r="332" spans="1:16" s="23" customFormat="1" ht="21" customHeight="1" thickBot="1" x14ac:dyDescent="0.25">
      <c r="A332" s="28">
        <v>1</v>
      </c>
      <c r="B332" s="29" t="s">
        <v>890</v>
      </c>
      <c r="C332" s="18" t="s">
        <v>19</v>
      </c>
      <c r="D332" s="18" t="s">
        <v>20</v>
      </c>
      <c r="E332" s="18" t="s">
        <v>27</v>
      </c>
      <c r="F332" s="18" t="s">
        <v>891</v>
      </c>
      <c r="G332" s="18" t="s">
        <v>892</v>
      </c>
      <c r="H332" s="40">
        <v>20260429</v>
      </c>
      <c r="I332" s="15" t="str">
        <f t="shared" si="31"/>
        <v>Jachal</v>
      </c>
      <c r="J332" s="15">
        <f t="shared" si="32"/>
        <v>323</v>
      </c>
      <c r="K332" s="15"/>
      <c r="L332" s="20" t="str">
        <f t="shared" si="28"/>
        <v>https://www.google.com/maps/dir/Catamarca+Sur+664,+San+Juan/Escuela+General+San+Mart%C3%ADn,+Aberastain+536,+J5460+San+Jose+de+Jachal,+San+Juan/Catamarca+Sur+664,+San+Juan/@-30.890974,-69.2860692,159085m/data=!3m2!1e3!4b1!4m20!4m19!1m5!1m1!1s0x9681402690dd76eb:0x4b283f8fe10ce3f3!2m2!1d-68.5293761!2d-31.5426363!1m5!1m1!1s0x96836746fc34727b:0xc93020acbc90fc99!2m2!1d-68.749902!2d-30.2404174!1m5!1m1!1s0x9681402690dd76eb:0x4b283f8fe10ce3f3!2m2!1d-68.5293761!2d-31.5426363!3e0?entry=ttu&amp;g_ep=EgoyMDI1MDgxMy4wIKXMDSoASAFQAw%3D%3D</v>
      </c>
      <c r="M332" s="21" t="str">
        <f t="shared" si="29"/>
        <v>https://webagentes.canaldirecto.com.ar/incidents/view/831210-5</v>
      </c>
      <c r="N332" s="21" t="str">
        <f t="shared" si="30"/>
        <v>https://webagentes.canaldirecto.com.ar/incidents/view/831210-5</v>
      </c>
      <c r="O332" s="21"/>
      <c r="P332" s="22"/>
    </row>
    <row r="333" spans="1:16" s="23" customFormat="1" ht="21" customHeight="1" thickBot="1" x14ac:dyDescent="0.25">
      <c r="A333" s="16">
        <v>2</v>
      </c>
      <c r="B333" s="17" t="s">
        <v>893</v>
      </c>
      <c r="C333" s="18" t="s">
        <v>19</v>
      </c>
      <c r="D333" s="18" t="s">
        <v>20</v>
      </c>
      <c r="E333" s="18" t="s">
        <v>816</v>
      </c>
      <c r="F333" s="18" t="s">
        <v>22</v>
      </c>
      <c r="G333" s="18" t="s">
        <v>894</v>
      </c>
      <c r="H333" s="40">
        <v>20260429</v>
      </c>
      <c r="I333" s="15" t="e">
        <f t="shared" si="31"/>
        <v>#N/A</v>
      </c>
      <c r="J333" s="15" t="e">
        <f t="shared" si="32"/>
        <v>#N/A</v>
      </c>
      <c r="K333" s="15"/>
      <c r="L333" s="20" t="e">
        <f t="shared" si="28"/>
        <v>#N/A</v>
      </c>
      <c r="M333" s="21" t="str">
        <f t="shared" si="29"/>
        <v>https://webagentes.canaldirecto.com.ar/incidents/view/826317-3</v>
      </c>
      <c r="N333" s="21" t="str">
        <f t="shared" si="30"/>
        <v>https://webagentes.canaldirecto.com.ar/incidents/view/826317-3</v>
      </c>
      <c r="O333" s="21"/>
      <c r="P333" s="22"/>
    </row>
    <row r="334" spans="1:16" s="23" customFormat="1" ht="21" customHeight="1" thickBot="1" x14ac:dyDescent="0.25">
      <c r="A334" s="24">
        <v>3</v>
      </c>
      <c r="B334" s="25" t="s">
        <v>895</v>
      </c>
      <c r="C334" s="18" t="s">
        <v>19</v>
      </c>
      <c r="D334" s="18" t="s">
        <v>26</v>
      </c>
      <c r="E334" s="18" t="s">
        <v>27</v>
      </c>
      <c r="F334" s="18" t="s">
        <v>155</v>
      </c>
      <c r="G334" s="18" t="s">
        <v>896</v>
      </c>
      <c r="H334" s="42">
        <v>20260430</v>
      </c>
      <c r="I334" s="15" t="e">
        <f t="shared" si="31"/>
        <v>#N/A</v>
      </c>
      <c r="J334" s="15" t="e">
        <f t="shared" si="32"/>
        <v>#N/A</v>
      </c>
      <c r="K334" s="15"/>
      <c r="L334" s="20" t="e">
        <f t="shared" si="28"/>
        <v>#N/A</v>
      </c>
      <c r="M334" s="21" t="str">
        <f t="shared" si="29"/>
        <v>https://webagentes.canaldirecto.com.ar/incidents/view/831999-5</v>
      </c>
      <c r="N334" s="21" t="str">
        <f t="shared" si="30"/>
        <v>https://webagentes.canaldirecto.com.ar/incidents/view/831999-5</v>
      </c>
      <c r="O334" s="21"/>
      <c r="P334" s="22"/>
    </row>
    <row r="335" spans="1:16" s="23" customFormat="1" ht="21" customHeight="1" thickBot="1" x14ac:dyDescent="0.25">
      <c r="A335" s="16">
        <v>2</v>
      </c>
      <c r="B335" s="17" t="s">
        <v>897</v>
      </c>
      <c r="C335" s="18" t="s">
        <v>19</v>
      </c>
      <c r="D335" s="18" t="s">
        <v>36</v>
      </c>
      <c r="E335" s="18" t="s">
        <v>27</v>
      </c>
      <c r="F335" s="18" t="s">
        <v>898</v>
      </c>
      <c r="G335" s="18" t="s">
        <v>899</v>
      </c>
      <c r="H335" s="42">
        <v>20260430</v>
      </c>
      <c r="I335" s="15" t="str">
        <f t="shared" si="31"/>
        <v>Caucete</v>
      </c>
      <c r="J335" s="15">
        <f t="shared" si="32"/>
        <v>57.9</v>
      </c>
      <c r="K335" s="15"/>
      <c r="L335" s="20" t="str">
        <f t="shared" si="28"/>
        <v>https://www.google.com/maps/dir/Catamarca+Sur+664,+San+Juan/E.P.E.T.+N%C2%B0+1+Caucete,+J5442+Caucete,+San+Juan/Catamarca+Sur+664,+San+Juan/@-31.5933052,-68.4912887,19738m/data=!3m2!1e3!4b1!4m20!4m19!1m5!1m1!1s0x9681402690dd76eb:0x4b283f8fe10ce3f3!2m2!1d-68.5293761!2d-31.5426363!1m5!1m1!1s0x96810e59058a3715:0x6b8ffc5005f94074!2m2!1d-68.2900468!2d-31.6453875!1m5!1m1!1s0x9681402690dd76eb:0x4b283f8fe10ce3f3!2m2!1d-68.5293761!2d-31.5426363!3e0?hl=es&amp;entry=ttu&amp;g_ep=EgoyMDI1MDczMC4wIKXMDSoASAFQAw%3D%3D</v>
      </c>
      <c r="M335" s="21" t="str">
        <f t="shared" si="29"/>
        <v>https://webagentes.canaldirecto.com.ar/incidents/view/831968-5</v>
      </c>
      <c r="N335" s="21" t="str">
        <f t="shared" si="30"/>
        <v>https://webagentes.canaldirecto.com.ar/incidents/view/831968-5</v>
      </c>
      <c r="O335" s="21"/>
      <c r="P335" s="22"/>
    </row>
    <row r="336" spans="1:16" s="23" customFormat="1" ht="21" customHeight="1" thickBot="1" x14ac:dyDescent="0.25">
      <c r="A336" s="16">
        <v>2</v>
      </c>
      <c r="B336" s="17" t="s">
        <v>900</v>
      </c>
      <c r="C336" s="18" t="s">
        <v>19</v>
      </c>
      <c r="D336" s="18" t="s">
        <v>36</v>
      </c>
      <c r="E336" s="18" t="s">
        <v>27</v>
      </c>
      <c r="F336" s="18" t="s">
        <v>901</v>
      </c>
      <c r="G336" s="18" t="s">
        <v>902</v>
      </c>
      <c r="H336" s="42">
        <v>20260430</v>
      </c>
      <c r="I336" s="15" t="str">
        <f t="shared" si="31"/>
        <v>Caucete</v>
      </c>
      <c r="J336" s="15">
        <f t="shared" si="32"/>
        <v>71.5</v>
      </c>
      <c r="K336" s="15"/>
      <c r="L336" s="20" t="str">
        <f t="shared" si="28"/>
        <v>https://www.google.com/maps/dir/Catamarca+Sur+664,+San+Juan/Escuela+Gonazalo+Douglas+Agrotecnica,+San+Juan/Catamarca+Sur+664,+San+Juan/@-31.6225951,-68.4912887,19732m/data=!3m2!1e3!4b1!4m20!4m19!1m5!1m1!1s0x9681402690dd76eb:0x4b283f8fe10ce3f3!2m2!1d-68.5293761!2d-31.5426363!1m5!1m1!1s0x9681057d8bf9ce19:0x6bb4bfaf9aa7c821!2m2!1d-68.2939558!2d-31.704014!1m5!1m1!1s0x9681402690dd76eb:0x4b283f8fe10ce3f3!2m2!1d-68.5293761!2d-31.5426363!3e0?entry=ttu&amp;g_ep=EgoyMDI1MDgxMy4wIKXMDSoASAFQAw%3D%3D</v>
      </c>
      <c r="M336" s="21" t="str">
        <f t="shared" si="29"/>
        <v>https://webagentes.canaldirecto.com.ar/incidents/view/831967-6</v>
      </c>
      <c r="N336" s="21" t="str">
        <f t="shared" si="30"/>
        <v>https://webagentes.canaldirecto.com.ar/incidents/view/831967-6</v>
      </c>
      <c r="O336" s="21"/>
      <c r="P336" s="22"/>
    </row>
    <row r="337" spans="1:16" s="23" customFormat="1" ht="21" customHeight="1" thickBot="1" x14ac:dyDescent="0.25">
      <c r="A337" s="28">
        <v>1</v>
      </c>
      <c r="B337" s="29" t="s">
        <v>903</v>
      </c>
      <c r="C337" s="18" t="s">
        <v>19</v>
      </c>
      <c r="D337" s="18" t="s">
        <v>20</v>
      </c>
      <c r="E337" s="18" t="s">
        <v>27</v>
      </c>
      <c r="F337" s="18" t="s">
        <v>904</v>
      </c>
      <c r="G337" s="18" t="s">
        <v>905</v>
      </c>
      <c r="H337" s="42">
        <v>20260430</v>
      </c>
      <c r="I337" s="15" t="str">
        <f t="shared" si="31"/>
        <v>POCITO</v>
      </c>
      <c r="J337" s="15">
        <f t="shared" si="32"/>
        <v>18.5</v>
      </c>
      <c r="K337" s="15"/>
      <c r="L337" s="20" t="str">
        <f t="shared" si="28"/>
        <v>https://www.google.com/maps/dir/Catamarca+Sur+664,+San+Juan/Gobernador+Eloy+Camus,+San+Juan/Catamarca+Sur+664,+San+Juan/@-31.5699983,-68.5915993,9872m/data=!3m2!1e3!4b1!4m20!4m19!1m5!1m1!1s0x9681402690dd76eb:0x4b283f8fe10ce3f3!2m2!1d-68.5293623!2d-31.542635!1m5!1m1!1s0x96813f5f4dfc9c65:0x806cf8db3d2ce262!2m2!1d-68.5715282!2d-31.5982696!1m5!1m1!1s0x9681402690dd76eb:0x4b283f8fe10ce3f3!2m2!1d-68.5293623!2d-31.542635!3e0?hl=es&amp;entry=ttu&amp;g_ep=EgoyMDI1MDgxOS4wIKXMDSoASAFQAw%3D%3D</v>
      </c>
      <c r="M337" s="21" t="str">
        <f t="shared" si="29"/>
        <v>https://webagentes.canaldirecto.com.ar/incidents/view/831836-7</v>
      </c>
      <c r="N337" s="21" t="str">
        <f t="shared" si="30"/>
        <v>https://webagentes.canaldirecto.com.ar/incidents/view/831836-7</v>
      </c>
      <c r="O337" s="21"/>
      <c r="P337" s="22"/>
    </row>
    <row r="338" spans="1:16" s="23" customFormat="1" ht="21" customHeight="1" thickBot="1" x14ac:dyDescent="0.25">
      <c r="A338" s="24">
        <v>3</v>
      </c>
      <c r="B338" s="25" t="s">
        <v>906</v>
      </c>
      <c r="C338" s="18" t="s">
        <v>19</v>
      </c>
      <c r="D338" s="18" t="s">
        <v>20</v>
      </c>
      <c r="E338" s="18" t="s">
        <v>27</v>
      </c>
      <c r="F338" s="18" t="s">
        <v>194</v>
      </c>
      <c r="G338" s="18" t="s">
        <v>195</v>
      </c>
      <c r="H338" s="42">
        <v>20260430</v>
      </c>
      <c r="I338" s="15" t="str">
        <f t="shared" si="31"/>
        <v>Chimbas</v>
      </c>
      <c r="J338" s="15">
        <f t="shared" si="32"/>
        <v>16.7</v>
      </c>
      <c r="K338" s="15"/>
      <c r="L338" s="20" t="str">
        <f t="shared" si="28"/>
        <v>https://www.google.com/maps/dir/Catamarca+Sur+664,+San+Juan/Escuela+Welfried+Salinas,+Necochea+1108,+J5413+Chimbas,+San+Juan/Catamarca+Sur+664,+San+Juan/@-31.527894,-68.5606267,9876m/data=!3m2!1e3!4b1!4m20!4m19!1m5!1m1!1s0x9681402690dd76eb:0x4b283f8fe10ce3f3!2m2!1d-68.5293761!2d-31.5426363!1m5!1m1!1s0x96816a1315ce0853:0x86d251b84c471cb9!2m2!1d-68.5086433!2d-31.5009423!1m5!1m1!1s0x9681402690dd76eb:0x4b283f8fe10ce3f3!2m2!1d-68.5293761!2d-31.5426363!3e0?entry=ttu&amp;g_ep=EgoyMDI1MDgxMy4wIKXMDSoASAFQAw%3D%3D</v>
      </c>
      <c r="M338" s="21" t="str">
        <f t="shared" si="29"/>
        <v>https://webagentes.canaldirecto.com.ar/incidents/view/831808-4</v>
      </c>
      <c r="N338" s="21" t="str">
        <f t="shared" si="30"/>
        <v>https://webagentes.canaldirecto.com.ar/incidents/view/831808-4</v>
      </c>
      <c r="O338" s="21"/>
      <c r="P338" s="22"/>
    </row>
    <row r="339" spans="1:16" s="23" customFormat="1" ht="21" customHeight="1" thickBot="1" x14ac:dyDescent="0.25">
      <c r="A339" s="16">
        <v>2</v>
      </c>
      <c r="B339" s="17" t="s">
        <v>907</v>
      </c>
      <c r="C339" s="18" t="s">
        <v>19</v>
      </c>
      <c r="D339" s="18" t="s">
        <v>20</v>
      </c>
      <c r="E339" s="18" t="s">
        <v>27</v>
      </c>
      <c r="F339" s="18" t="s">
        <v>908</v>
      </c>
      <c r="G339" s="18" t="s">
        <v>909</v>
      </c>
      <c r="H339" s="42">
        <v>20260430</v>
      </c>
      <c r="I339" s="15" t="str">
        <f t="shared" si="31"/>
        <v>Caucete</v>
      </c>
      <c r="J339" s="15">
        <f t="shared" si="32"/>
        <v>73.400000000000006</v>
      </c>
      <c r="K339" s="15">
        <v>73.400000000000006</v>
      </c>
      <c r="L339" s="20" t="str">
        <f t="shared" si="28"/>
        <v>https://www.google.com/maps/dir/Catamarca+Sur+664,+San+Juan/Escuela+SUBOFICIAL+MAYOR+SEGUNDO+ANTENOR+YUBEL,+Caucete,+San+Juan/Catamarca+Sur+664,+San+Juan/@-31.6230172,-68.49069,19732m/data=!3m2!1e3!4b1!4m20!4m19!1m5!1m1!1s0x9681402690dd76eb:0x4b283f8fe10ce3f3!2m2!1d-68.5293761!2d-31.5426363!1m5!1m1!1s0x96810561c98f09d3:0xe543d87efd99502e!2m2!1d-68.2854145!2d-31.7027655!1m5!1m1!1s0x9681402690dd76eb:0x4b283f8fe10ce3f3!2m2!1d-68.5293761!2d-31.5426363!3e0?hl=es&amp;entry=ttu&amp;g_ep=EgoyMDI1MDgxMy4wIKXMDSoASAFQAw%3D%3D</v>
      </c>
      <c r="M339" s="21" t="str">
        <f t="shared" si="29"/>
        <v>https://webagentes.canaldirecto.com.ar/incidents/view/831793-3</v>
      </c>
      <c r="N339" s="21" t="str">
        <f t="shared" si="30"/>
        <v>https://webagentes.canaldirecto.com.ar/incidents/view/831793-3</v>
      </c>
      <c r="O339" s="21"/>
      <c r="P339" s="22"/>
    </row>
    <row r="340" spans="1:16" s="23" customFormat="1" ht="21" customHeight="1" thickBot="1" x14ac:dyDescent="0.25">
      <c r="A340" s="24">
        <v>3</v>
      </c>
      <c r="B340" s="25" t="s">
        <v>910</v>
      </c>
      <c r="C340" s="18" t="s">
        <v>19</v>
      </c>
      <c r="D340" s="18" t="s">
        <v>20</v>
      </c>
      <c r="E340" s="18" t="s">
        <v>27</v>
      </c>
      <c r="F340" s="18" t="s">
        <v>911</v>
      </c>
      <c r="G340" s="18" t="s">
        <v>912</v>
      </c>
      <c r="H340" s="42">
        <v>20260430</v>
      </c>
      <c r="I340" s="15" t="str">
        <f t="shared" si="31"/>
        <v>Chimbas</v>
      </c>
      <c r="J340" s="15">
        <f t="shared" si="32"/>
        <v>8.6</v>
      </c>
      <c r="K340" s="15"/>
      <c r="L340" s="20" t="str">
        <f t="shared" si="28"/>
        <v>https://www.google.com/maps/dir/Catamarca+Sur+664,+San+Juan/Escuela+Salvador+M.+Del+Carril,+Gral.+Urquiza+Norte+321,+J5400+Chimbas,+San+Juan/Catamarca+Sur+664,+San+Juan/@-31.527631,-68.5544137,4938m/data=!3m2!1e3!4b1!4m20!4m19!1m5!1m1!1s0x9681402690dd76eb:0x4b283f8fe10ce3f3!2m2!1d-68.5293623!2d-31.542635!1m5!1m1!1s0x968141c3220156bd:0x6ce909e814915e4b!2m2!1d-68.5382697!2d-31.510866!1m5!1m1!1s0x9681402690dd76eb:0x4b283f8fe10ce3f3!2m2!1d-68.5293623!2d-31.542635!3e0?hl=es&amp;entry=ttu&amp;g_ep=EgoyMDI1MDgxOS4wIKXMDSoASAFQAw%3D%3D</v>
      </c>
      <c r="M340" s="21" t="str">
        <f t="shared" si="29"/>
        <v>https://webagentes.canaldirecto.com.ar/incidents/view/831665-1</v>
      </c>
      <c r="N340" s="21" t="str">
        <f t="shared" si="30"/>
        <v>https://webagentes.canaldirecto.com.ar/incidents/view/831665-1</v>
      </c>
      <c r="O340" s="21"/>
      <c r="P340" s="22"/>
    </row>
    <row r="341" spans="1:16" s="23" customFormat="1" ht="21" customHeight="1" thickBot="1" x14ac:dyDescent="0.25">
      <c r="A341" s="24">
        <v>3</v>
      </c>
      <c r="B341" s="25" t="s">
        <v>913</v>
      </c>
      <c r="C341" s="18" t="s">
        <v>19</v>
      </c>
      <c r="D341" s="18" t="s">
        <v>20</v>
      </c>
      <c r="E341" s="18" t="s">
        <v>27</v>
      </c>
      <c r="F341" s="18" t="s">
        <v>914</v>
      </c>
      <c r="G341" s="18" t="s">
        <v>915</v>
      </c>
      <c r="H341" s="42">
        <v>20260430</v>
      </c>
      <c r="I341" s="15" t="str">
        <f t="shared" si="31"/>
        <v>Rivadavia</v>
      </c>
      <c r="J341" s="15">
        <f t="shared" si="32"/>
        <v>19.7</v>
      </c>
      <c r="K341" s="15"/>
      <c r="L341" s="20" t="str">
        <f t="shared" si="28"/>
        <v>https://www.google.com/maps/dir/Catamarca+Sur+664,+San+Juan/Escuela+Timoteo+Maradona,+Sgto+Cabral+Oeste+5369,+J5400+Rivadavia,+San+Juan/Catamarca+Sur+664,+San+Juan/@-31.5354695,-68.6048941,9875m/data=!3m2!1e3!4b1!4m20!4m19!1m5!1m1!1s0x9681402690dd76eb:0x4b283f8fe10ce3f3!2m2!1d-68.5293623!2d-31.542635!1m5!1m1!1s0x968141406a13b2d3:0x1db13f4af49dbafd!2m2!1d-68.5980001!2d-31.516533!1m5!1m1!1s0x9681402690dd76eb:0x4b283f8fe10ce3f3!2m2!1d-68.5293623!2d-31.542635!3e0?hl=es&amp;entry=ttu&amp;g_ep=EgoyMDI1MDgxOS4wIKXMDSoASAFQAw%3D%3D</v>
      </c>
      <c r="M341" s="21" t="str">
        <f t="shared" si="29"/>
        <v>https://webagentes.canaldirecto.com.ar/incidents/view/831481-1</v>
      </c>
      <c r="N341" s="21" t="str">
        <f t="shared" si="30"/>
        <v>https://webagentes.canaldirecto.com.ar/incidents/view/831481-1</v>
      </c>
      <c r="O341" s="21"/>
      <c r="P341" s="22"/>
    </row>
    <row r="342" spans="1:16" s="23" customFormat="1" ht="21" customHeight="1" thickBot="1" x14ac:dyDescent="0.25">
      <c r="A342" s="24">
        <v>3</v>
      </c>
      <c r="B342" s="25" t="s">
        <v>916</v>
      </c>
      <c r="C342" s="18" t="s">
        <v>19</v>
      </c>
      <c r="D342" s="18" t="s">
        <v>20</v>
      </c>
      <c r="E342" s="18" t="s">
        <v>27</v>
      </c>
      <c r="F342" s="18" t="s">
        <v>197</v>
      </c>
      <c r="G342" s="18" t="s">
        <v>198</v>
      </c>
      <c r="H342" s="42">
        <v>20260430</v>
      </c>
      <c r="I342" s="15" t="str">
        <f t="shared" si="31"/>
        <v>Albardón</v>
      </c>
      <c r="J342" s="15">
        <f t="shared" si="32"/>
        <v>36.299999999999997</v>
      </c>
      <c r="K342" s="15">
        <v>37</v>
      </c>
      <c r="L342" s="20" t="str">
        <f t="shared" si="28"/>
        <v>https://www.google.com/maps/dir/Catamarca+Sur+664,+San+Juan/Colegio+Gral.+Don+Toribio+de+Luzuriaga,+Nacional,+J5419+Villa+Gral.+San+Martin,+San+Juan/Catamarca+Sur+664,+San+Juan/@-31.4913565,-68.6012244,19760m/data=!3m2!1e3!4b1!4m20!4m19!1m5!1m1!1s0x9681402690dd76eb:0x4b283f8fe10ce3f3!2m2!1d-68.5293761!2d-31.5426363!1m5!1m1!1s0x9681683633706625:0x1ec70dfe06f0b20e!2m2!1d-68.5019143!2d-31.4280533!1m5!1m1!1s0x9681402690dd76eb:0x4b283f8fe10ce3f3!2m2!1d-68.5293761!2d-31.5426363!3e0?hl=es&amp;entry=ttu&amp;g_ep=EgoyMDI1MDgxMy4wIKXMDSoASAFQAw%3D%3D</v>
      </c>
      <c r="M342" s="21" t="str">
        <f t="shared" si="29"/>
        <v>https://webagentes.canaldirecto.com.ar/incidents/view/831277-0</v>
      </c>
      <c r="N342" s="21" t="str">
        <f t="shared" si="30"/>
        <v>https://webagentes.canaldirecto.com.ar/incidents/view/831277-0</v>
      </c>
      <c r="O342" s="21"/>
      <c r="P342" s="22"/>
    </row>
    <row r="343" spans="1:16" s="23" customFormat="1" ht="21" customHeight="1" thickBot="1" x14ac:dyDescent="0.25">
      <c r="B343"/>
      <c r="C343" s="43"/>
      <c r="D343" s="43"/>
      <c r="E343" s="43"/>
      <c r="F343" s="43"/>
      <c r="G343" s="43"/>
      <c r="H343" s="43"/>
      <c r="I343" s="15"/>
      <c r="J343" s="15"/>
      <c r="K343" s="15"/>
      <c r="L343" s="20"/>
      <c r="M343" s="21"/>
      <c r="N343" s="21"/>
      <c r="O343" s="21"/>
      <c r="P343" s="22"/>
    </row>
    <row r="344" spans="1:16" s="23" customFormat="1" ht="21" customHeight="1" thickBot="1" x14ac:dyDescent="0.25">
      <c r="B344"/>
      <c r="C344" s="43"/>
      <c r="D344" s="43"/>
      <c r="E344" s="43"/>
      <c r="F344" s="43"/>
      <c r="G344" s="43"/>
      <c r="H344" s="43"/>
      <c r="I344" s="15"/>
      <c r="J344" s="15"/>
      <c r="K344" s="15"/>
      <c r="L344" s="20"/>
      <c r="M344" s="21"/>
      <c r="N344" s="21"/>
      <c r="O344" s="21"/>
      <c r="P344" s="22"/>
    </row>
    <row r="345" spans="1:16" s="23" customFormat="1" ht="21" customHeight="1" thickBot="1" x14ac:dyDescent="0.25">
      <c r="B345"/>
      <c r="C345" s="43"/>
      <c r="D345" s="43"/>
      <c r="E345" s="43"/>
      <c r="F345" s="43"/>
      <c r="G345" s="43"/>
      <c r="H345" s="43"/>
      <c r="I345" s="15"/>
      <c r="J345" s="15"/>
      <c r="K345" s="15"/>
      <c r="L345" s="20"/>
      <c r="M345" s="21"/>
      <c r="N345" s="21"/>
      <c r="O345" s="21"/>
      <c r="P345" s="22"/>
    </row>
    <row r="346" spans="1:16" s="23" customFormat="1" ht="21" customHeight="1" thickBot="1" x14ac:dyDescent="0.25">
      <c r="B346"/>
      <c r="C346" s="43"/>
      <c r="D346" s="43"/>
      <c r="E346" s="43"/>
      <c r="F346" s="43"/>
      <c r="G346" s="43"/>
      <c r="H346" s="43"/>
      <c r="I346" s="15"/>
      <c r="J346" s="15"/>
      <c r="K346" s="15"/>
      <c r="L346" s="20"/>
      <c r="M346" s="21"/>
      <c r="N346" s="21"/>
      <c r="O346" s="21"/>
      <c r="P346" s="22"/>
    </row>
    <row r="347" spans="1:16" s="23" customFormat="1" ht="21" customHeight="1" thickBot="1" x14ac:dyDescent="0.25">
      <c r="B347"/>
      <c r="C347" s="43"/>
      <c r="D347" s="43"/>
      <c r="E347" s="43"/>
      <c r="F347" s="43"/>
      <c r="G347" s="43"/>
      <c r="H347" s="43"/>
      <c r="I347" s="15"/>
      <c r="J347" s="15"/>
      <c r="K347" s="15"/>
      <c r="L347" s="20"/>
      <c r="M347" s="21"/>
      <c r="N347" s="21"/>
      <c r="O347" s="21"/>
      <c r="P347" s="22"/>
    </row>
    <row r="348" spans="1:16" s="23" customFormat="1" ht="21" customHeight="1" thickBot="1" x14ac:dyDescent="0.25">
      <c r="B348"/>
      <c r="C348" s="43"/>
      <c r="D348" s="43"/>
      <c r="E348" s="43"/>
      <c r="F348" s="43"/>
      <c r="G348" s="43"/>
      <c r="H348" s="43"/>
      <c r="I348" s="15"/>
      <c r="J348" s="15"/>
      <c r="K348" s="15"/>
      <c r="L348" s="20"/>
      <c r="M348" s="21"/>
      <c r="N348" s="21"/>
      <c r="O348" s="21"/>
      <c r="P348" s="22"/>
    </row>
    <row r="349" spans="1:16" s="23" customFormat="1" ht="21" customHeight="1" thickBot="1" x14ac:dyDescent="0.25">
      <c r="B349"/>
      <c r="C349" s="43"/>
      <c r="D349" s="43"/>
      <c r="E349" s="43"/>
      <c r="F349" s="43"/>
      <c r="G349" s="43"/>
      <c r="H349" s="43"/>
      <c r="I349" s="15"/>
      <c r="J349" s="15"/>
      <c r="K349" s="15"/>
      <c r="L349" s="20"/>
      <c r="M349" s="21"/>
      <c r="N349" s="21"/>
      <c r="O349" s="21"/>
      <c r="P349" s="22"/>
    </row>
    <row r="350" spans="1:16" s="23" customFormat="1" ht="21" customHeight="1" thickBot="1" x14ac:dyDescent="0.25">
      <c r="B350"/>
      <c r="C350" s="43"/>
      <c r="D350" s="43"/>
      <c r="E350" s="43"/>
      <c r="F350" s="43"/>
      <c r="G350" s="43"/>
      <c r="H350" s="43"/>
      <c r="I350" s="15"/>
      <c r="J350" s="15"/>
      <c r="K350" s="15"/>
      <c r="L350" s="20"/>
      <c r="M350" s="21"/>
      <c r="N350" s="21"/>
      <c r="O350" s="21"/>
      <c r="P350" s="22"/>
    </row>
    <row r="351" spans="1:16" s="23" customFormat="1" ht="21" customHeight="1" thickBot="1" x14ac:dyDescent="0.25">
      <c r="B351"/>
      <c r="C351" s="43"/>
      <c r="D351" s="43"/>
      <c r="E351" s="43"/>
      <c r="F351" s="43"/>
      <c r="G351" s="43"/>
      <c r="H351" s="43"/>
      <c r="I351" s="15"/>
      <c r="J351" s="15"/>
      <c r="K351" s="15"/>
      <c r="L351" s="20"/>
      <c r="M351" s="21"/>
      <c r="N351" s="21"/>
      <c r="O351" s="21"/>
      <c r="P351" s="22"/>
    </row>
    <row r="352" spans="1:16" s="23" customFormat="1" ht="21" customHeight="1" thickBot="1" x14ac:dyDescent="0.25">
      <c r="B352"/>
      <c r="C352" s="43"/>
      <c r="D352" s="43"/>
      <c r="E352" s="43"/>
      <c r="F352" s="43"/>
      <c r="G352" s="43"/>
      <c r="H352" s="43"/>
      <c r="I352" s="15"/>
      <c r="J352" s="15"/>
      <c r="K352" s="15"/>
      <c r="L352" s="20"/>
      <c r="M352" s="21"/>
      <c r="N352" s="21"/>
      <c r="O352" s="21"/>
      <c r="P352" s="22"/>
    </row>
    <row r="353" spans="2:16" s="23" customFormat="1" ht="21" customHeight="1" thickBot="1" x14ac:dyDescent="0.25">
      <c r="B353"/>
      <c r="C353" s="43"/>
      <c r="D353" s="43"/>
      <c r="E353" s="43"/>
      <c r="F353" s="43"/>
      <c r="G353" s="43"/>
      <c r="H353" s="43"/>
      <c r="I353" s="15"/>
      <c r="J353" s="15"/>
      <c r="K353" s="15"/>
      <c r="L353" s="20"/>
      <c r="M353" s="21"/>
      <c r="N353" s="21"/>
      <c r="O353" s="21"/>
      <c r="P353" s="22"/>
    </row>
    <row r="354" spans="2:16" s="23" customFormat="1" ht="21" customHeight="1" thickBot="1" x14ac:dyDescent="0.25">
      <c r="B354"/>
      <c r="C354" s="43"/>
      <c r="D354" s="43"/>
      <c r="E354" s="43"/>
      <c r="F354" s="43"/>
      <c r="G354" s="43"/>
      <c r="H354" s="43"/>
      <c r="I354" s="15"/>
      <c r="J354" s="15"/>
      <c r="K354" s="15"/>
      <c r="L354" s="20"/>
      <c r="M354" s="21"/>
      <c r="N354" s="21"/>
      <c r="O354" s="21"/>
      <c r="P354" s="22"/>
    </row>
    <row r="355" spans="2:16" s="23" customFormat="1" ht="21" customHeight="1" x14ac:dyDescent="0.2">
      <c r="B355"/>
      <c r="C355" s="43"/>
      <c r="D355" s="43"/>
      <c r="E355" s="43"/>
      <c r="F355" s="43"/>
      <c r="G355" s="43"/>
      <c r="H355" s="43"/>
      <c r="I355" s="15"/>
      <c r="J355" s="15"/>
      <c r="K355" s="15"/>
      <c r="L355" s="20"/>
      <c r="M355" s="21"/>
      <c r="N355" s="21"/>
      <c r="O355" s="21"/>
      <c r="P355" s="22"/>
    </row>
  </sheetData>
  <autoFilter ref="A1:N342" xr:uid="{52B9F198-E5FC-4976-B2E3-3D974F37DFD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</cp:lastModifiedBy>
  <dcterms:created xsi:type="dcterms:W3CDTF">2026-05-07T13:35:49Z</dcterms:created>
  <dcterms:modified xsi:type="dcterms:W3CDTF">2026-05-07T13:39:20Z</dcterms:modified>
</cp:coreProperties>
</file>